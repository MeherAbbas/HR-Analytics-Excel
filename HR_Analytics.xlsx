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edfaac2e71f20d6c/Dokumente/"/>
    </mc:Choice>
  </mc:AlternateContent>
  <xr:revisionPtr revIDLastSave="1" documentId="8_{B06ED50C-22F2-481A-BBE3-449D741655BD}" xr6:coauthVersionLast="47" xr6:coauthVersionMax="47" xr10:uidLastSave="{22B880E2-EE99-4292-9ED4-027D9F871084}"/>
  <bookViews>
    <workbookView xWindow="-108" yWindow="-108" windowWidth="23256" windowHeight="12456" tabRatio="697" firstSheet="5" activeTab="9" xr2:uid="{26D4546B-D2A1-4444-8EAF-A6228F96F0C1}"/>
  </bookViews>
  <sheets>
    <sheet name="Total Salary by Gender" sheetId="3" r:id="rId1"/>
    <sheet name="Department-wise Employee Count " sheetId="5" r:id="rId2"/>
    <sheet name="Employee Count by Work Location" sheetId="6" r:id="rId3"/>
    <sheet name="Emp Gender Distribution (%)" sheetId="7" r:id="rId4"/>
    <sheet name="Monthly Emp Hiring by Gender" sheetId="10" r:id="rId5"/>
    <sheet name="Monthly Salary by Gender" sheetId="11" r:id="rId6"/>
    <sheet name="Dept-wise Salary Distribution" sheetId="12" r:id="rId7"/>
    <sheet name=" Data" sheetId="1" r:id="rId8"/>
    <sheet name="data quality log" sheetId="13" r:id="rId9"/>
    <sheet name="report" sheetId="4" r:id="rId10"/>
  </sheets>
  <definedNames>
    <definedName name="_xlnm._FilterDatabase" localSheetId="7" hidden="1">' Data'!$C$1:$M$246</definedName>
    <definedName name="Slicer_Department">#N/A</definedName>
    <definedName name="Slicer_Gender">#N/A</definedName>
    <definedName name="Slicer_month">#N/A</definedName>
    <definedName name="Slicer_part_time_or_full_time">#N/A</definedName>
    <definedName name="Slicer_Work_location">#N/A</definedName>
  </definedNames>
  <calcPr calcId="191029"/>
  <pivotCaches>
    <pivotCache cacheId="8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G61" i="1"/>
  <c r="G35"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 i="1"/>
  <c r="G74" i="1" l="1"/>
  <c r="G112" i="1"/>
  <c r="G205" i="1" s="1"/>
  <c r="G128" i="1"/>
  <c r="G136" i="1"/>
  <c r="G152" i="1"/>
  <c r="G159" i="1"/>
  <c r="G203" i="1" l="1"/>
  <c r="G224" i="1"/>
</calcChain>
</file>

<file path=xl/sharedStrings.xml><?xml version="1.0" encoding="utf-8"?>
<sst xmlns="http://schemas.openxmlformats.org/spreadsheetml/2006/main" count="1581" uniqueCount="547">
  <si>
    <t>Emp ID</t>
  </si>
  <si>
    <t>Name</t>
  </si>
  <si>
    <t>Gender</t>
  </si>
  <si>
    <t>Department</t>
  </si>
  <si>
    <t>Salary</t>
  </si>
  <si>
    <t>Start Date</t>
  </si>
  <si>
    <t>FTE</t>
  </si>
  <si>
    <t>Employee type</t>
  </si>
  <si>
    <t>PR00007</t>
  </si>
  <si>
    <t>Torrance  Collier</t>
  </si>
  <si>
    <t>Female</t>
  </si>
  <si>
    <t>Training</t>
  </si>
  <si>
    <t>Permanent</t>
  </si>
  <si>
    <t>Male</t>
  </si>
  <si>
    <t>Human Resources</t>
  </si>
  <si>
    <t>Product Management</t>
  </si>
  <si>
    <t>Engineering</t>
  </si>
  <si>
    <t>PR00095</t>
  </si>
  <si>
    <t>Ardella Dyment</t>
  </si>
  <si>
    <t>Business Development</t>
  </si>
  <si>
    <t>PR00113</t>
  </si>
  <si>
    <t>Van Tuxwell</t>
  </si>
  <si>
    <t>PR00147</t>
  </si>
  <si>
    <t>Minerva Ricardot</t>
  </si>
  <si>
    <t>NULL</t>
  </si>
  <si>
    <t>Services</t>
  </si>
  <si>
    <t>PR00210</t>
  </si>
  <si>
    <t>Marquita Liquorish</t>
  </si>
  <si>
    <t>Legal</t>
  </si>
  <si>
    <t>Research and Development</t>
  </si>
  <si>
    <t>PR00246</t>
  </si>
  <si>
    <t>Husein Augar</t>
  </si>
  <si>
    <t>Marketing</t>
  </si>
  <si>
    <t>Sales</t>
  </si>
  <si>
    <t>PR00419</t>
  </si>
  <si>
    <t>Billi Fellgate</t>
  </si>
  <si>
    <t>PR00576</t>
  </si>
  <si>
    <t>Lion  Adcock</t>
  </si>
  <si>
    <t>Support</t>
  </si>
  <si>
    <t>Accounting</t>
  </si>
  <si>
    <t>PR00746</t>
  </si>
  <si>
    <t>Hogan Iles</t>
  </si>
  <si>
    <t>PR00770</t>
  </si>
  <si>
    <t>Beryl Burnsyde</t>
  </si>
  <si>
    <t>PR00882</t>
  </si>
  <si>
    <t xml:space="preserve"> Jill Shipsey</t>
  </si>
  <si>
    <t>PR00893</t>
  </si>
  <si>
    <t>Daisie McNeice</t>
  </si>
  <si>
    <t>PR01055</t>
  </si>
  <si>
    <t>Gavan Puttan</t>
  </si>
  <si>
    <t>PR01159</t>
  </si>
  <si>
    <t>Mollie  Hanway</t>
  </si>
  <si>
    <t>PR01211</t>
  </si>
  <si>
    <t>Enoch Dowrey</t>
  </si>
  <si>
    <t>PR01269</t>
  </si>
  <si>
    <t>Eleonore Airdrie</t>
  </si>
  <si>
    <t>PR01306</t>
  </si>
  <si>
    <t>Patti Dradey</t>
  </si>
  <si>
    <t>PR01346</t>
  </si>
  <si>
    <t>Adolph McNalley</t>
  </si>
  <si>
    <t>PR01383</t>
  </si>
  <si>
    <t>Addi Studdeard</t>
  </si>
  <si>
    <t>PR01476</t>
  </si>
  <si>
    <t>Joli Jodrelle</t>
  </si>
  <si>
    <t>PR01662</t>
  </si>
  <si>
    <t>Genevra Friday</t>
  </si>
  <si>
    <t>PR01943</t>
  </si>
  <si>
    <t>Erin Androsik</t>
  </si>
  <si>
    <t>PR01951</t>
  </si>
  <si>
    <t xml:space="preserve">Aloise MacCathay </t>
  </si>
  <si>
    <t>PR01956</t>
  </si>
  <si>
    <t xml:space="preserve"> Jamesy O'Ferris</t>
  </si>
  <si>
    <t>PR02010</t>
  </si>
  <si>
    <t>Eilis Pavlasek</t>
  </si>
  <si>
    <t>PR02016</t>
  </si>
  <si>
    <t>Iris  Wagg</t>
  </si>
  <si>
    <t>PR02113</t>
  </si>
  <si>
    <t>Beverie Moffet</t>
  </si>
  <si>
    <t>PR02140</t>
  </si>
  <si>
    <t>Fanchon Furney</t>
  </si>
  <si>
    <t>PR02208</t>
  </si>
  <si>
    <t>Vernor Atyea</t>
  </si>
  <si>
    <t>PR02275</t>
  </si>
  <si>
    <t>Louise Lamming</t>
  </si>
  <si>
    <t>PR02288</t>
  </si>
  <si>
    <t>Althea  Bronger</t>
  </si>
  <si>
    <t>PR02321</t>
  </si>
  <si>
    <t>Evanne  Sheryn</t>
  </si>
  <si>
    <t>PR02436</t>
  </si>
  <si>
    <t>Marmaduke Worssam</t>
  </si>
  <si>
    <t>PR02603</t>
  </si>
  <si>
    <t>Daisie Dahlman</t>
  </si>
  <si>
    <t>PR02782</t>
  </si>
  <si>
    <t>Isaak Rawne</t>
  </si>
  <si>
    <t>PR02957</t>
  </si>
  <si>
    <t>Vaughn Carvill</t>
  </si>
  <si>
    <t>Ansley Gounel</t>
  </si>
  <si>
    <t>PR03137</t>
  </si>
  <si>
    <t>Nolan  Tortis</t>
  </si>
  <si>
    <t>PR03158</t>
  </si>
  <si>
    <t>Danica Nayshe</t>
  </si>
  <si>
    <t>PR03271</t>
  </si>
  <si>
    <t>Stan  Tolliday</t>
  </si>
  <si>
    <t>PR03445</t>
  </si>
  <si>
    <t>Myrle Prandoni</t>
  </si>
  <si>
    <t>PR03532</t>
  </si>
  <si>
    <t>Crawford Scad</t>
  </si>
  <si>
    <t>PR03804</t>
  </si>
  <si>
    <t>Vere Kulic</t>
  </si>
  <si>
    <t>PR03844</t>
  </si>
  <si>
    <t>Brose MacCorkell</t>
  </si>
  <si>
    <t>PR03886</t>
  </si>
  <si>
    <t>Edd  MacKnockiter</t>
  </si>
  <si>
    <t>PR03980</t>
  </si>
  <si>
    <t xml:space="preserve"> Kath Bletsoe</t>
  </si>
  <si>
    <t>PR04366</t>
  </si>
  <si>
    <t>Carry Loblie</t>
  </si>
  <si>
    <t>PR04380</t>
  </si>
  <si>
    <t>PR04446</t>
  </si>
  <si>
    <t>Giffer Berlin</t>
  </si>
  <si>
    <t>PR04473</t>
  </si>
  <si>
    <t xml:space="preserve"> Wyn Treadger</t>
  </si>
  <si>
    <t>Gilles Jaquet</t>
  </si>
  <si>
    <t>PR04686</t>
  </si>
  <si>
    <t>Oona Donan</t>
  </si>
  <si>
    <t>PR04851</t>
  </si>
  <si>
    <t>Rodina Drinan</t>
  </si>
  <si>
    <t>SQ00022</t>
  </si>
  <si>
    <t>Carlin Demke</t>
  </si>
  <si>
    <t>SQ00070</t>
  </si>
  <si>
    <t>Larissa Ingledow</t>
  </si>
  <si>
    <t>SQ00105</t>
  </si>
  <si>
    <t>Melisa Knott</t>
  </si>
  <si>
    <t>SQ00144</t>
  </si>
  <si>
    <t>Collen Dunbleton</t>
  </si>
  <si>
    <t>SQ00187</t>
  </si>
  <si>
    <t>Karlen McCaffrey</t>
  </si>
  <si>
    <t>SQ00286</t>
  </si>
  <si>
    <t xml:space="preserve">Sile Whorton </t>
  </si>
  <si>
    <t>SQ00360</t>
  </si>
  <si>
    <t xml:space="preserve">Orlando Gorstidge </t>
  </si>
  <si>
    <t>SQ00450</t>
  </si>
  <si>
    <t xml:space="preserve"> Louise Lamming</t>
  </si>
  <si>
    <t>SQ00498</t>
  </si>
  <si>
    <t>Amery Ofer</t>
  </si>
  <si>
    <t>SQ00612</t>
  </si>
  <si>
    <t xml:space="preserve"> Leena Bruckshaw</t>
  </si>
  <si>
    <t>SQ00691</t>
  </si>
  <si>
    <t>Verla Timmis</t>
  </si>
  <si>
    <t>SQ00841</t>
  </si>
  <si>
    <t>SQ00914</t>
  </si>
  <si>
    <t>SQ00960</t>
  </si>
  <si>
    <t>Calvin O'Carroll</t>
  </si>
  <si>
    <t>SQ01026</t>
  </si>
  <si>
    <t>Faun Rickeard</t>
  </si>
  <si>
    <t>SQ01177</t>
  </si>
  <si>
    <t>Riccardo Hagan</t>
  </si>
  <si>
    <t>SQ01283</t>
  </si>
  <si>
    <t>Barr Faughny</t>
  </si>
  <si>
    <t>SQ01395</t>
  </si>
  <si>
    <t>Dennison Crosswaite</t>
  </si>
  <si>
    <t>SQ01402</t>
  </si>
  <si>
    <t>Julietta Culross</t>
  </si>
  <si>
    <t>SQ01519</t>
  </si>
  <si>
    <t>Caron Kolakovic</t>
  </si>
  <si>
    <t>SQ01620</t>
  </si>
  <si>
    <t>Westbrook Brandino</t>
  </si>
  <si>
    <t>SQ01637</t>
  </si>
  <si>
    <t xml:space="preserve"> Joaquin McVitty</t>
  </si>
  <si>
    <t>SQ01697</t>
  </si>
  <si>
    <t>Frasier Straw</t>
  </si>
  <si>
    <t>SQ01730</t>
  </si>
  <si>
    <t>Austine Littlewood</t>
  </si>
  <si>
    <t>SQ01829</t>
  </si>
  <si>
    <t>Mabel Orrow</t>
  </si>
  <si>
    <t>SQ01854</t>
  </si>
  <si>
    <t>Jessica Callcott</t>
  </si>
  <si>
    <t>SQ01962</t>
  </si>
  <si>
    <t>Lezlie Philcott</t>
  </si>
  <si>
    <t>SQ01998</t>
  </si>
  <si>
    <t>Layton Crayden</t>
  </si>
  <si>
    <t>SQ02035</t>
  </si>
  <si>
    <t>Anni Izzard</t>
  </si>
  <si>
    <t>Katya Hundy</t>
  </si>
  <si>
    <t>SQ02051</t>
  </si>
  <si>
    <t>Dave Lacoste</t>
  </si>
  <si>
    <t>Alida Welman</t>
  </si>
  <si>
    <t>SQ02174</t>
  </si>
  <si>
    <t>Sidoney Yitzhok</t>
  </si>
  <si>
    <t>SQ02223</t>
  </si>
  <si>
    <t xml:space="preserve"> Pippy Shepperd</t>
  </si>
  <si>
    <t>SQ02246</t>
  </si>
  <si>
    <t xml:space="preserve">Matias Cormack </t>
  </si>
  <si>
    <t>SQ02371</t>
  </si>
  <si>
    <t>SQ02424</t>
  </si>
  <si>
    <t>Novelia Pyffe</t>
  </si>
  <si>
    <t>SQ02465</t>
  </si>
  <si>
    <t>Bernie Gorges</t>
  </si>
  <si>
    <t>SQ02525</t>
  </si>
  <si>
    <t>Mickie Dagwell</t>
  </si>
  <si>
    <t>SQ02559</t>
  </si>
  <si>
    <t>Aldrich  Glenny</t>
  </si>
  <si>
    <t>SQ02565</t>
  </si>
  <si>
    <t>Konstantin Timblett</t>
  </si>
  <si>
    <t>SQ02582</t>
  </si>
  <si>
    <t>Grier Kidsley</t>
  </si>
  <si>
    <t>SQ02624</t>
  </si>
  <si>
    <t>Gwenneth Fealey</t>
  </si>
  <si>
    <t>SQ02638</t>
  </si>
  <si>
    <t>Cara Havers</t>
  </si>
  <si>
    <t>SQ02643</t>
  </si>
  <si>
    <t>Niko MacGille</t>
  </si>
  <si>
    <t>SQ02703</t>
  </si>
  <si>
    <t>North Bertomeu</t>
  </si>
  <si>
    <t>SQ03024</t>
  </si>
  <si>
    <t>Inge Creer</t>
  </si>
  <si>
    <t>SQ03112</t>
  </si>
  <si>
    <t>Vlad Strangeway</t>
  </si>
  <si>
    <t>SQ03116</t>
  </si>
  <si>
    <t>Syd Fearn</t>
  </si>
  <si>
    <t>SQ03321</t>
  </si>
  <si>
    <t>Gradey Litton</t>
  </si>
  <si>
    <t>SQ03350</t>
  </si>
  <si>
    <t>Felice McMurty</t>
  </si>
  <si>
    <t>SQ03387</t>
  </si>
  <si>
    <t>Robinia Scholling</t>
  </si>
  <si>
    <t>SQ03476</t>
  </si>
  <si>
    <t>Inger Andriveaux</t>
  </si>
  <si>
    <t>SQ03491</t>
  </si>
  <si>
    <t>Freda Legan</t>
  </si>
  <si>
    <t>SQ03546</t>
  </si>
  <si>
    <t>Alexandros Rackley</t>
  </si>
  <si>
    <t>SQ03625</t>
  </si>
  <si>
    <t xml:space="preserve"> Fidela Artis</t>
  </si>
  <si>
    <t>SQ03626</t>
  </si>
  <si>
    <t>Easter Pyke</t>
  </si>
  <si>
    <t>SQ03733</t>
  </si>
  <si>
    <t>Revkah Antonacci</t>
  </si>
  <si>
    <t>SQ04116</t>
  </si>
  <si>
    <t>Claretta MacQuist</t>
  </si>
  <si>
    <t>Barbara-anne Kenchington</t>
  </si>
  <si>
    <t>SQ04437</t>
  </si>
  <si>
    <t>Hephzibah Summerell</t>
  </si>
  <si>
    <t>SQ04488</t>
  </si>
  <si>
    <t>Yanaton Wooster</t>
  </si>
  <si>
    <t>SQ04598</t>
  </si>
  <si>
    <t>Pearla  Beteriss</t>
  </si>
  <si>
    <t>SQ04603</t>
  </si>
  <si>
    <t>Natalee Craiker</t>
  </si>
  <si>
    <t>SQ04612</t>
  </si>
  <si>
    <t>Mick Spraberry</t>
  </si>
  <si>
    <t>SQ04613</t>
  </si>
  <si>
    <t>Kelly Corkitt</t>
  </si>
  <si>
    <t>SQ04665</t>
  </si>
  <si>
    <t>Collin Jagson</t>
  </si>
  <si>
    <t>SQ04934</t>
  </si>
  <si>
    <t>Pedro St. Hill</t>
  </si>
  <si>
    <t>SQ04960</t>
  </si>
  <si>
    <t>Gilda Richen</t>
  </si>
  <si>
    <t>TN00083</t>
  </si>
  <si>
    <t>Tammi Lackham</t>
  </si>
  <si>
    <t>TN00129</t>
  </si>
  <si>
    <t>Grazia Bunkle</t>
  </si>
  <si>
    <t>TN00182</t>
  </si>
  <si>
    <t>Camilla Castle</t>
  </si>
  <si>
    <t>TN00214</t>
  </si>
  <si>
    <t>Jo-anne Gobeau</t>
  </si>
  <si>
    <t>TN00227</t>
  </si>
  <si>
    <t>Lincoln Cord</t>
  </si>
  <si>
    <t>TN00243</t>
  </si>
  <si>
    <t>Elbertine Hiscoe</t>
  </si>
  <si>
    <t>TN00258</t>
  </si>
  <si>
    <t>Joyce Leyband</t>
  </si>
  <si>
    <t>TN00328</t>
  </si>
  <si>
    <t>Jeannie Petracco</t>
  </si>
  <si>
    <t>TN00464</t>
  </si>
  <si>
    <t>Maritsa Marusic</t>
  </si>
  <si>
    <t>TN00579</t>
  </si>
  <si>
    <t xml:space="preserve">Rafaelita Blaksland </t>
  </si>
  <si>
    <t>TN00698</t>
  </si>
  <si>
    <t>TN00727</t>
  </si>
  <si>
    <t>Dulsea Folkes</t>
  </si>
  <si>
    <t>TN00735</t>
  </si>
  <si>
    <t>Caresa Christer</t>
  </si>
  <si>
    <t>TN00890</t>
  </si>
  <si>
    <t>Dean Biggam</t>
  </si>
  <si>
    <t>TN01028</t>
  </si>
  <si>
    <t>Alicea Pudsall</t>
  </si>
  <si>
    <t>TN01210</t>
  </si>
  <si>
    <t>Alyosha Riquet</t>
  </si>
  <si>
    <t>TN01256</t>
  </si>
  <si>
    <t>Ignacius Losel</t>
  </si>
  <si>
    <t>TN01281</t>
  </si>
  <si>
    <t xml:space="preserve">Cletus McGarahan </t>
  </si>
  <si>
    <t>TN01340</t>
  </si>
  <si>
    <t>Granny Spencelayh</t>
  </si>
  <si>
    <t>TN01389</t>
  </si>
  <si>
    <t>Shantee  D'Antonio</t>
  </si>
  <si>
    <t>TN01396</t>
  </si>
  <si>
    <t>Koral Gerriet</t>
  </si>
  <si>
    <t>TN01566</t>
  </si>
  <si>
    <t xml:space="preserve">Fonzie O'Shea </t>
  </si>
  <si>
    <t>TN01601</t>
  </si>
  <si>
    <t>Melva  Jickells</t>
  </si>
  <si>
    <t>TN01632</t>
  </si>
  <si>
    <t>TN01701</t>
  </si>
  <si>
    <t xml:space="preserve"> Yves Pawlik</t>
  </si>
  <si>
    <t>TN01876</t>
  </si>
  <si>
    <t>Aileen McCritchie</t>
  </si>
  <si>
    <t>TN01912</t>
  </si>
  <si>
    <t xml:space="preserve"> Fred Dudeney</t>
  </si>
  <si>
    <t>TN02204</t>
  </si>
  <si>
    <t>Aldrich Glenny</t>
  </si>
  <si>
    <t>TN02205</t>
  </si>
  <si>
    <t>Myer McCory</t>
  </si>
  <si>
    <t>TN02377</t>
  </si>
  <si>
    <t>Anjela Spancock</t>
  </si>
  <si>
    <t>TN02397</t>
  </si>
  <si>
    <t>Mendel  Gentsch</t>
  </si>
  <si>
    <t>TN02496</t>
  </si>
  <si>
    <t>Anjanette Ferre</t>
  </si>
  <si>
    <t>TN02570</t>
  </si>
  <si>
    <t>Grady Rochelle</t>
  </si>
  <si>
    <t>TN02667</t>
  </si>
  <si>
    <t>Lizzie Mullally</t>
  </si>
  <si>
    <t>TN02727</t>
  </si>
  <si>
    <t>Wald Bountiff</t>
  </si>
  <si>
    <t>TN02749</t>
  </si>
  <si>
    <t>Mackenzie Hannis</t>
  </si>
  <si>
    <t>TN02798</t>
  </si>
  <si>
    <t>Thorvald Milliken</t>
  </si>
  <si>
    <t>TN02883</t>
  </si>
  <si>
    <t>Iain Wiburn</t>
  </si>
  <si>
    <t>TN03032</t>
  </si>
  <si>
    <t xml:space="preserve">Debera Gow </t>
  </si>
  <si>
    <t>Fixed Term</t>
  </si>
  <si>
    <t>TN03068</t>
  </si>
  <si>
    <t>Dare Tully</t>
  </si>
  <si>
    <t>TN03097</t>
  </si>
  <si>
    <t>Bendite  Bloan</t>
  </si>
  <si>
    <t>TN03169</t>
  </si>
  <si>
    <t>Doe Clubley</t>
  </si>
  <si>
    <t>TN03210</t>
  </si>
  <si>
    <t>Kellsie Waby</t>
  </si>
  <si>
    <t>TN03331</t>
  </si>
  <si>
    <t>TN03355</t>
  </si>
  <si>
    <t>Ruby Cracie</t>
  </si>
  <si>
    <t>TN03416</t>
  </si>
  <si>
    <t>Seward Kubera</t>
  </si>
  <si>
    <t>TN03575</t>
  </si>
  <si>
    <t>Janina Wolverson</t>
  </si>
  <si>
    <t>TN04058</t>
  </si>
  <si>
    <t>Bari Toffano</t>
  </si>
  <si>
    <t>TN04067</t>
  </si>
  <si>
    <t>Lea Chaplin</t>
  </si>
  <si>
    <t>TN04101</t>
  </si>
  <si>
    <t>Marline Wahncke</t>
  </si>
  <si>
    <t>TN04166</t>
  </si>
  <si>
    <t>Tadio  Dowdle</t>
  </si>
  <si>
    <t>TN04175</t>
  </si>
  <si>
    <t xml:space="preserve">Hinda Label </t>
  </si>
  <si>
    <t>Tulley Chiddy</t>
  </si>
  <si>
    <t>TN04246</t>
  </si>
  <si>
    <t xml:space="preserve">Shaylyn Ransbury </t>
  </si>
  <si>
    <t>TN04265</t>
  </si>
  <si>
    <t xml:space="preserve"> Rey Chartman</t>
  </si>
  <si>
    <t>TN04428</t>
  </si>
  <si>
    <t>Tadio Audritt</t>
  </si>
  <si>
    <t>TN04660</t>
  </si>
  <si>
    <t>Thedrick Bothwell</t>
  </si>
  <si>
    <t>Dayle O'Luney</t>
  </si>
  <si>
    <t>TN04740</t>
  </si>
  <si>
    <t>Tristam Cuming</t>
  </si>
  <si>
    <t>TN04775</t>
  </si>
  <si>
    <t>Desi Peniman</t>
  </si>
  <si>
    <t>TN04892</t>
  </si>
  <si>
    <t>Luca Wolstenholme</t>
  </si>
  <si>
    <t>VT00017</t>
  </si>
  <si>
    <t>Maible Azemar</t>
  </si>
  <si>
    <t>VT00194</t>
  </si>
  <si>
    <t>Violante Courtonne</t>
  </si>
  <si>
    <t>VT00336</t>
  </si>
  <si>
    <t>Giselbert Newlands</t>
  </si>
  <si>
    <t>VT00476</t>
  </si>
  <si>
    <t>Adolph  Hartin</t>
  </si>
  <si>
    <t>VT00534</t>
  </si>
  <si>
    <t>Roselle Wandrach</t>
  </si>
  <si>
    <t>VT00596</t>
  </si>
  <si>
    <t>Letisha Carrett</t>
  </si>
  <si>
    <t>VT00687</t>
  </si>
  <si>
    <t>Adrianne Gave</t>
  </si>
  <si>
    <t>VT00740</t>
  </si>
  <si>
    <t>VT00839</t>
  </si>
  <si>
    <t>VT01092</t>
  </si>
  <si>
    <t>Tabby  Astall</t>
  </si>
  <si>
    <t>VT01101</t>
  </si>
  <si>
    <t>Adela Dowsett</t>
  </si>
  <si>
    <t>VT01246</t>
  </si>
  <si>
    <t>Zach Polon</t>
  </si>
  <si>
    <t>VT01323</t>
  </si>
  <si>
    <t>Lissy McCoy</t>
  </si>
  <si>
    <t>VT01523</t>
  </si>
  <si>
    <t>Charmane Heistermann</t>
  </si>
  <si>
    <t>VT01610</t>
  </si>
  <si>
    <t>VT01684</t>
  </si>
  <si>
    <t>Audry Yu</t>
  </si>
  <si>
    <t>VT01703</t>
  </si>
  <si>
    <t>Abigael Basire</t>
  </si>
  <si>
    <t>VT01740</t>
  </si>
  <si>
    <t>Ginger  Myott</t>
  </si>
  <si>
    <t>VT01762</t>
  </si>
  <si>
    <t>Mata Fishley</t>
  </si>
  <si>
    <t>VT01803</t>
  </si>
  <si>
    <t>Freddy Linford</t>
  </si>
  <si>
    <t>VT01893</t>
  </si>
  <si>
    <t>Lindy Guillet</t>
  </si>
  <si>
    <t>VT01996</t>
  </si>
  <si>
    <t>Hali Behnecke</t>
  </si>
  <si>
    <t>VT02118</t>
  </si>
  <si>
    <t>Northrop Reid</t>
  </si>
  <si>
    <t>Temporary</t>
  </si>
  <si>
    <t>VT02260</t>
  </si>
  <si>
    <t>Rhiamon Mollison</t>
  </si>
  <si>
    <t>VT02313</t>
  </si>
  <si>
    <t>Thekla Lynnett</t>
  </si>
  <si>
    <t>VT02319</t>
  </si>
  <si>
    <t>Aluin Churly</t>
  </si>
  <si>
    <t>VT02374</t>
  </si>
  <si>
    <t>Delphine Jewis</t>
  </si>
  <si>
    <t>VT02417</t>
  </si>
  <si>
    <t>Evangelina Lergan</t>
  </si>
  <si>
    <t>VT02491</t>
  </si>
  <si>
    <t>Alexis Gotfrey</t>
  </si>
  <si>
    <t>VT02532</t>
  </si>
  <si>
    <t>Adey Ryal</t>
  </si>
  <si>
    <t>VT02539</t>
  </si>
  <si>
    <t>Devinne Tuny</t>
  </si>
  <si>
    <t>VT02663</t>
  </si>
  <si>
    <t>VT02801</t>
  </si>
  <si>
    <t>Shellysheldon Mahady</t>
  </si>
  <si>
    <t>VT03298</t>
  </si>
  <si>
    <t>Nonah Bissell</t>
  </si>
  <si>
    <t>VT03307</t>
  </si>
  <si>
    <t>Tallie Chaikovski</t>
  </si>
  <si>
    <t>VT03421</t>
  </si>
  <si>
    <t>Alic Bagg</t>
  </si>
  <si>
    <t>VT03500</t>
  </si>
  <si>
    <t>Floyd  Cowgill</t>
  </si>
  <si>
    <t>VT03537</t>
  </si>
  <si>
    <t>Renaldo Thomassin</t>
  </si>
  <si>
    <t>VT03552</t>
  </si>
  <si>
    <t>Karyn Creeghan</t>
  </si>
  <si>
    <t>VT03701</t>
  </si>
  <si>
    <t>Richy Gray</t>
  </si>
  <si>
    <t>VT03704</t>
  </si>
  <si>
    <t>Egor Minto</t>
  </si>
  <si>
    <t>VT03771</t>
  </si>
  <si>
    <t>Marjie Bamford</t>
  </si>
  <si>
    <t>VT03849</t>
  </si>
  <si>
    <t>Leonidas Cavaney</t>
  </si>
  <si>
    <t>VT03988</t>
  </si>
  <si>
    <t>Oby Sorrel</t>
  </si>
  <si>
    <t>VT03993</t>
  </si>
  <si>
    <t>Dulce Colbeck</t>
  </si>
  <si>
    <t>VT04028</t>
  </si>
  <si>
    <t>Michale Rolf</t>
  </si>
  <si>
    <t>VT04093</t>
  </si>
  <si>
    <t>Ewart Hovel</t>
  </si>
  <si>
    <t>VT04137</t>
  </si>
  <si>
    <t>Marissa Infante</t>
  </si>
  <si>
    <t>VT04273</t>
  </si>
  <si>
    <t>Brad Gumb</t>
  </si>
  <si>
    <t>VT04350</t>
  </si>
  <si>
    <t>Trix Lutsch</t>
  </si>
  <si>
    <t>VT04373</t>
  </si>
  <si>
    <t>Edi  Hofton</t>
  </si>
  <si>
    <t>VT04415</t>
  </si>
  <si>
    <t>Malory Biles</t>
  </si>
  <si>
    <t>VT04467</t>
  </si>
  <si>
    <t xml:space="preserve">Carolyn Attack </t>
  </si>
  <si>
    <t>VT04552</t>
  </si>
  <si>
    <t>Theresita Chasmer</t>
  </si>
  <si>
    <t>VT04627</t>
  </si>
  <si>
    <t>Yvette  Bett</t>
  </si>
  <si>
    <t>VT04681</t>
  </si>
  <si>
    <t>Nickolai  Artin</t>
  </si>
  <si>
    <t>VT04905</t>
  </si>
  <si>
    <t>Bryant Scamp</t>
  </si>
  <si>
    <t>VT04984</t>
  </si>
  <si>
    <t>Dell Molloy</t>
  </si>
  <si>
    <t>PR03034</t>
  </si>
  <si>
    <t>Estell Kingsland</t>
  </si>
  <si>
    <t>VT01249</t>
  </si>
  <si>
    <t>Brendan  Edgeller</t>
  </si>
  <si>
    <t>VT00578</t>
  </si>
  <si>
    <t>Magnum Locksley</t>
  </si>
  <si>
    <t>TN02674</t>
  </si>
  <si>
    <t>Antonetta  Coggeshall</t>
  </si>
  <si>
    <t>PR00916</t>
  </si>
  <si>
    <t>Inger Chapelhow</t>
  </si>
  <si>
    <t>PR04601</t>
  </si>
  <si>
    <t>Nananne Gehringer</t>
  </si>
  <si>
    <t>TN02988</t>
  </si>
  <si>
    <t>Hobie Stockbridge</t>
  </si>
  <si>
    <t>Work location</t>
  </si>
  <si>
    <t>Wellington, New Zealand</t>
  </si>
  <si>
    <t>Auckland, New Zealand</t>
  </si>
  <si>
    <t>Columbus, USA</t>
  </si>
  <si>
    <t>Seattle, USA</t>
  </si>
  <si>
    <t>Hyderabad, India</t>
  </si>
  <si>
    <t>Chennai, India</t>
  </si>
  <si>
    <t>Remote</t>
  </si>
  <si>
    <t>month</t>
  </si>
  <si>
    <t>part time or full time</t>
  </si>
  <si>
    <t>Row Labels</t>
  </si>
  <si>
    <t>Grand Total</t>
  </si>
  <si>
    <t>Sum of Salary</t>
  </si>
  <si>
    <t>full time</t>
  </si>
  <si>
    <t>part time</t>
  </si>
  <si>
    <t>Column Labels</t>
  </si>
  <si>
    <t>Count of Gender</t>
  </si>
  <si>
    <t>Count of Department</t>
  </si>
  <si>
    <t>Jan</t>
  </si>
  <si>
    <t>Feb</t>
  </si>
  <si>
    <t>Mar</t>
  </si>
  <si>
    <t>Apr</t>
  </si>
  <si>
    <t>May</t>
  </si>
  <si>
    <t>Jun</t>
  </si>
  <si>
    <t>Jul</t>
  </si>
  <si>
    <t>Aug</t>
  </si>
  <si>
    <t>Sep</t>
  </si>
  <si>
    <t>Oct</t>
  </si>
  <si>
    <t>Nov</t>
  </si>
  <si>
    <t>Dec</t>
  </si>
  <si>
    <t>Count of Emp ID</t>
  </si>
  <si>
    <t xml:space="preserve">                                                                                                                                                          Dashboard</t>
  </si>
  <si>
    <t xml:space="preserve">                                                                                                                                                            employee performances and workforce</t>
  </si>
  <si>
    <t>department_status</t>
  </si>
  <si>
    <t>ISSUE</t>
  </si>
  <si>
    <t>COUNT</t>
  </si>
  <si>
    <t>ACTION</t>
  </si>
  <si>
    <t>Missing departments (NULL)</t>
  </si>
  <si>
    <t>Flagged as Missing</t>
  </si>
  <si>
    <t>Zero salaries</t>
  </si>
  <si>
    <t>Flagged for investigation</t>
  </si>
  <si>
    <t>Repeated employee IDs</t>
  </si>
  <si>
    <t>Employee Gender 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</si>
</sst>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6" x14ac:knownFonts="1">
    <font>
      <sz val="11"/>
      <color theme="1"/>
      <name val="Calibri"/>
      <family val="2"/>
      <scheme val="minor"/>
    </font>
    <font>
      <sz val="11"/>
      <color rgb="FFFF0000"/>
      <name val="Calibri"/>
      <family val="2"/>
      <scheme val="minor"/>
    </font>
    <font>
      <sz val="16"/>
      <color theme="1"/>
      <name val="Times New Roman"/>
      <family val="1"/>
    </font>
    <font>
      <sz val="14"/>
      <color rgb="FFFF0000"/>
      <name val="Times New Roman"/>
      <family val="1"/>
    </font>
    <font>
      <sz val="16"/>
      <color theme="0"/>
      <name val="Times New Roman"/>
      <family val="1"/>
    </font>
    <font>
      <b/>
      <sz val="11"/>
      <color theme="0"/>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14" fontId="0" fillId="0" borderId="0" xfId="0" applyNumberFormat="1"/>
    <xf numFmtId="0" fontId="0" fillId="0" borderId="0" xfId="0" applyAlignment="1">
      <alignment horizontal="center"/>
    </xf>
    <xf numFmtId="14"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10" fontId="0" fillId="0" borderId="0" xfId="0" applyNumberFormat="1"/>
    <xf numFmtId="0" fontId="4" fillId="2" borderId="0" xfId="0" applyFont="1" applyFill="1" applyAlignment="1">
      <alignment horizontal="center"/>
    </xf>
    <xf numFmtId="0" fontId="3" fillId="4" borderId="0" xfId="0" applyFont="1" applyFill="1" applyAlignment="1">
      <alignment horizontal="center"/>
    </xf>
    <xf numFmtId="0" fontId="1" fillId="4" borderId="0" xfId="0" applyFont="1" applyFill="1" applyAlignment="1">
      <alignment horizontal="center"/>
    </xf>
    <xf numFmtId="0" fontId="2" fillId="2" borderId="0" xfId="0" applyFont="1" applyFill="1" applyAlignment="1">
      <alignment horizontal="center"/>
    </xf>
    <xf numFmtId="0" fontId="5" fillId="5" borderId="0" xfId="0" applyFont="1" applyFill="1"/>
  </cellXfs>
  <cellStyles count="1">
    <cellStyle name="Normal" xfId="0" builtinId="0"/>
  </cellStyles>
  <dxfs count="7">
    <dxf>
      <font>
        <color rgb="FF9C0006"/>
      </font>
      <fill>
        <patternFill>
          <bgColor rgb="FFFFC7CE"/>
        </patternFill>
      </fill>
    </dxf>
    <dxf>
      <font>
        <color rgb="FF9C0006"/>
      </font>
      <fill>
        <patternFill>
          <bgColor rgb="FFFFC7CE"/>
        </patternFill>
      </fill>
    </dxf>
    <dxf>
      <numFmt numFmtId="0" formatCode="General"/>
    </dxf>
    <dxf>
      <alignment horizontal="center"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64"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backup.xlsx]Total Salary by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Salary by Gender</a:t>
            </a:r>
          </a:p>
        </c:rich>
      </c:tx>
      <c:layout>
        <c:manualLayout>
          <c:xMode val="edge"/>
          <c:yMode val="edge"/>
          <c:x val="0.35968413379994119"/>
          <c:y val="2.2777776781374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pivotFmt>
    </c:pivotFmts>
    <c:plotArea>
      <c:layout>
        <c:manualLayout>
          <c:layoutTarget val="inner"/>
          <c:xMode val="edge"/>
          <c:yMode val="edge"/>
          <c:x val="6.4677931953141796E-2"/>
          <c:y val="0.16119293740130508"/>
          <c:w val="0.68799618893409464"/>
          <c:h val="0.71838129223852121"/>
        </c:manualLayout>
      </c:layout>
      <c:barChart>
        <c:barDir val="col"/>
        <c:grouping val="clustered"/>
        <c:varyColors val="0"/>
        <c:ser>
          <c:idx val="0"/>
          <c:order val="0"/>
          <c:tx>
            <c:strRef>
              <c:f>'Total Salary by Gender'!$B$3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Salary by Gender'!$A$4:$A$5</c:f>
              <c:strCache>
                <c:ptCount val="2"/>
                <c:pt idx="0">
                  <c:v>Female</c:v>
                </c:pt>
                <c:pt idx="1">
                  <c:v>Male</c:v>
                </c:pt>
              </c:strCache>
            </c:strRef>
          </c:cat>
          <c:val>
            <c:numRef>
              <c:f>'Total Salary by Gender'!$B$4:$B$5</c:f>
              <c:numCache>
                <c:formatCode>General</c:formatCode>
                <c:ptCount val="2"/>
                <c:pt idx="0">
                  <c:v>8752241.6800000053</c:v>
                </c:pt>
                <c:pt idx="1">
                  <c:v>8843922.9949999973</c:v>
                </c:pt>
              </c:numCache>
            </c:numRef>
          </c:val>
          <c:extLst>
            <c:ext xmlns:c16="http://schemas.microsoft.com/office/drawing/2014/chart" uri="{C3380CC4-5D6E-409C-BE32-E72D297353CC}">
              <c16:uniqueId val="{00000003-F11E-4AD1-8A64-4AFA162F8179}"/>
            </c:ext>
          </c:extLst>
        </c:ser>
        <c:dLbls>
          <c:dLblPos val="outEnd"/>
          <c:showLegendKey val="0"/>
          <c:showVal val="1"/>
          <c:showCatName val="0"/>
          <c:showSerName val="0"/>
          <c:showPercent val="0"/>
          <c:showBubbleSize val="0"/>
        </c:dLbls>
        <c:gapWidth val="219"/>
        <c:overlap val="-27"/>
        <c:axId val="1849950831"/>
        <c:axId val="1849948335"/>
      </c:barChart>
      <c:catAx>
        <c:axId val="184995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48335"/>
        <c:crosses val="autoZero"/>
        <c:auto val="1"/>
        <c:lblAlgn val="ctr"/>
        <c:lblOffset val="100"/>
        <c:noMultiLvlLbl val="0"/>
      </c:catAx>
      <c:valAx>
        <c:axId val="1849948335"/>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50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backup.xlsx]Department-wise Employee Count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Department-wise Employee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dLbl>
          <c:idx val="0"/>
          <c:layout>
            <c:manualLayout>
              <c:x val="-5.5570116579103622E-3"/>
              <c:y val="9.252526959823634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2EB8C1-68CA-4531-964C-FE310FCAD760}" type="VALUE">
                  <a:rPr lang="en-US" sz="6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11848878415"/>
          <c:y val="0.14545029239766083"/>
          <c:w val="0.50073335455827506"/>
          <c:h val="0.74601980015655933"/>
        </c:manualLayout>
      </c:layout>
      <c:barChart>
        <c:barDir val="col"/>
        <c:grouping val="clustered"/>
        <c:varyColors val="0"/>
        <c:ser>
          <c:idx val="0"/>
          <c:order val="0"/>
          <c:tx>
            <c:strRef>
              <c:f>'Department-wise Employee Count '!$B$3:$B$4</c:f>
              <c:strCache>
                <c:ptCount val="1"/>
                <c:pt idx="0">
                  <c:v>Female</c:v>
                </c:pt>
              </c:strCache>
            </c:strRef>
          </c:tx>
          <c:spPr>
            <a:solidFill>
              <a:schemeClr val="accent1"/>
            </a:solidFill>
            <a:ln>
              <a:noFill/>
            </a:ln>
            <a:effectLst/>
          </c:spPr>
          <c:invertIfNegative val="0"/>
          <c:dPt>
            <c:idx val="11"/>
            <c:invertIfNegative val="0"/>
            <c:bubble3D val="0"/>
            <c:spPr>
              <a:solidFill>
                <a:schemeClr val="accent1"/>
              </a:solidFill>
              <a:ln>
                <a:noFill/>
              </a:ln>
              <a:effectLst/>
            </c:spPr>
            <c:extLst>
              <c:ext xmlns:c16="http://schemas.microsoft.com/office/drawing/2014/chart" uri="{C3380CC4-5D6E-409C-BE32-E72D297353CC}">
                <c16:uniqueId val="{00000000-1CA8-42C9-B1C3-B02947A94C0F}"/>
              </c:ext>
            </c:extLst>
          </c:dPt>
          <c:dLbls>
            <c:dLbl>
              <c:idx val="11"/>
              <c:layout>
                <c:manualLayout>
                  <c:x val="-5.5570116579103622E-3"/>
                  <c:y val="9.2525269598236343E-3"/>
                </c:manualLayout>
              </c:layout>
              <c:tx>
                <c:rich>
                  <a:bodyPr/>
                  <a:lstStyle/>
                  <a:p>
                    <a:fld id="{872EB8C1-68CA-4531-964C-FE310FCAD760}" type="VALUE">
                      <a:rPr lang="en-US" sz="6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CA8-42C9-B1C3-B02947A94C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'Department-wise Employee Count '!$A$5:$A$17</c:f>
              <c:strCache>
                <c:ptCount val="13"/>
                <c:pt idx="0">
                  <c:v>Accounting</c:v>
                </c:pt>
                <c:pt idx="1">
                  <c:v>Business Development</c:v>
                </c:pt>
                <c:pt idx="2">
                  <c:v>Engineering</c:v>
                </c:pt>
                <c:pt idx="3">
                  <c:v>Human Resources</c:v>
                </c:pt>
                <c:pt idx="4">
                  <c:v>Legal</c:v>
                </c:pt>
                <c:pt idx="5">
                  <c:v>Marketing</c:v>
                </c:pt>
                <c:pt idx="6">
                  <c:v>NULL</c:v>
                </c:pt>
                <c:pt idx="7">
                  <c:v>Product Management</c:v>
                </c:pt>
                <c:pt idx="8">
                  <c:v>Research and Development</c:v>
                </c:pt>
                <c:pt idx="9">
                  <c:v>Sales</c:v>
                </c:pt>
                <c:pt idx="10">
                  <c:v>Services</c:v>
                </c:pt>
                <c:pt idx="11">
                  <c:v>Support</c:v>
                </c:pt>
                <c:pt idx="12">
                  <c:v>Training</c:v>
                </c:pt>
              </c:strCache>
            </c:strRef>
          </c:cat>
          <c:val>
            <c:numRef>
              <c:f>'Department-wise Employee Count '!$B$5:$B$17</c:f>
              <c:numCache>
                <c:formatCode>General</c:formatCode>
                <c:ptCount val="13"/>
                <c:pt idx="0">
                  <c:v>8</c:v>
                </c:pt>
                <c:pt idx="1">
                  <c:v>10</c:v>
                </c:pt>
                <c:pt idx="2">
                  <c:v>5</c:v>
                </c:pt>
                <c:pt idx="3">
                  <c:v>8</c:v>
                </c:pt>
                <c:pt idx="4">
                  <c:v>9</c:v>
                </c:pt>
                <c:pt idx="5">
                  <c:v>5</c:v>
                </c:pt>
                <c:pt idx="6">
                  <c:v>5</c:v>
                </c:pt>
                <c:pt idx="7">
                  <c:v>14</c:v>
                </c:pt>
                <c:pt idx="8">
                  <c:v>12</c:v>
                </c:pt>
                <c:pt idx="9">
                  <c:v>9</c:v>
                </c:pt>
                <c:pt idx="10">
                  <c:v>12</c:v>
                </c:pt>
                <c:pt idx="11">
                  <c:v>8</c:v>
                </c:pt>
                <c:pt idx="12">
                  <c:v>17</c:v>
                </c:pt>
              </c:numCache>
            </c:numRef>
          </c:val>
          <c:extLst>
            <c:ext xmlns:c16="http://schemas.microsoft.com/office/drawing/2014/chart" uri="{C3380CC4-5D6E-409C-BE32-E72D297353CC}">
              <c16:uniqueId val="{00000004-45CC-4BB3-A171-CA31C2558FA2}"/>
            </c:ext>
          </c:extLst>
        </c:ser>
        <c:ser>
          <c:idx val="1"/>
          <c:order val="1"/>
          <c:tx>
            <c:strRef>
              <c:f>'Department-wise Employee Count '!$C$3:$C$4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'Department-wise Employee Count '!$A$5:$A$17</c:f>
              <c:strCache>
                <c:ptCount val="13"/>
                <c:pt idx="0">
                  <c:v>Accounting</c:v>
                </c:pt>
                <c:pt idx="1">
                  <c:v>Business Development</c:v>
                </c:pt>
                <c:pt idx="2">
                  <c:v>Engineering</c:v>
                </c:pt>
                <c:pt idx="3">
                  <c:v>Human Resources</c:v>
                </c:pt>
                <c:pt idx="4">
                  <c:v>Legal</c:v>
                </c:pt>
                <c:pt idx="5">
                  <c:v>Marketing</c:v>
                </c:pt>
                <c:pt idx="6">
                  <c:v>NULL</c:v>
                </c:pt>
                <c:pt idx="7">
                  <c:v>Product Management</c:v>
                </c:pt>
                <c:pt idx="8">
                  <c:v>Research and Development</c:v>
                </c:pt>
                <c:pt idx="9">
                  <c:v>Sales</c:v>
                </c:pt>
                <c:pt idx="10">
                  <c:v>Services</c:v>
                </c:pt>
                <c:pt idx="11">
                  <c:v>Support</c:v>
                </c:pt>
                <c:pt idx="12">
                  <c:v>Training</c:v>
                </c:pt>
              </c:strCache>
            </c:strRef>
          </c:cat>
          <c:val>
            <c:numRef>
              <c:f>'Department-wise Employee Count '!$C$5:$C$17</c:f>
              <c:numCache>
                <c:formatCode>General</c:formatCode>
                <c:ptCount val="13"/>
                <c:pt idx="0">
                  <c:v>16</c:v>
                </c:pt>
                <c:pt idx="1">
                  <c:v>11</c:v>
                </c:pt>
                <c:pt idx="2">
                  <c:v>15</c:v>
                </c:pt>
                <c:pt idx="3">
                  <c:v>13</c:v>
                </c:pt>
                <c:pt idx="4">
                  <c:v>12</c:v>
                </c:pt>
                <c:pt idx="5">
                  <c:v>7</c:v>
                </c:pt>
                <c:pt idx="6">
                  <c:v>4</c:v>
                </c:pt>
                <c:pt idx="7">
                  <c:v>10</c:v>
                </c:pt>
                <c:pt idx="8">
                  <c:v>7</c:v>
                </c:pt>
                <c:pt idx="9">
                  <c:v>7</c:v>
                </c:pt>
                <c:pt idx="10">
                  <c:v>7</c:v>
                </c:pt>
                <c:pt idx="11">
                  <c:v>10</c:v>
                </c:pt>
                <c:pt idx="12">
                  <c:v>4</c:v>
                </c:pt>
              </c:numCache>
            </c:numRef>
          </c:val>
          <c:extLst>
            <c:ext xmlns:c16="http://schemas.microsoft.com/office/drawing/2014/chart" uri="{C3380CC4-5D6E-409C-BE32-E72D297353CC}">
              <c16:uniqueId val="{00000002-F74F-4EF8-965D-68E182BA9B3A}"/>
            </c:ext>
          </c:extLst>
        </c:ser>
        <c:dLbls>
          <c:dLblPos val="outEnd"/>
          <c:showLegendKey val="0"/>
          <c:showVal val="1"/>
          <c:showCatName val="0"/>
          <c:showSerName val="0"/>
          <c:showPercent val="0"/>
          <c:showBubbleSize val="0"/>
        </c:dLbls>
        <c:gapWidth val="84"/>
        <c:axId val="1951370559"/>
        <c:axId val="1951371391"/>
      </c:barChart>
      <c:catAx>
        <c:axId val="1951370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371391"/>
        <c:crosses val="autoZero"/>
        <c:auto val="1"/>
        <c:lblAlgn val="ctr"/>
        <c:lblOffset val="100"/>
        <c:noMultiLvlLbl val="0"/>
      </c:catAx>
      <c:valAx>
        <c:axId val="195137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3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backup.xlsx]Employee Count by Work Location!PivotTable3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r>
              <a:rPr lang="en-IN"/>
              <a:t>Employee Count by Work Location and Employment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Count by Work Location'!$B$3:$B$4</c:f>
              <c:strCache>
                <c:ptCount val="1"/>
                <c:pt idx="0">
                  <c:v>Auckland, New Zealand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Location'!$B$5:$B$6</c:f>
              <c:numCache>
                <c:formatCode>General</c:formatCode>
                <c:ptCount val="2"/>
                <c:pt idx="0">
                  <c:v>23</c:v>
                </c:pt>
                <c:pt idx="1">
                  <c:v>6</c:v>
                </c:pt>
              </c:numCache>
            </c:numRef>
          </c:val>
          <c:extLst>
            <c:ext xmlns:c16="http://schemas.microsoft.com/office/drawing/2014/chart" uri="{C3380CC4-5D6E-409C-BE32-E72D297353CC}">
              <c16:uniqueId val="{0000000B-6F3D-4EFF-9DAA-E5C0484CF878}"/>
            </c:ext>
          </c:extLst>
        </c:ser>
        <c:ser>
          <c:idx val="1"/>
          <c:order val="1"/>
          <c:tx>
            <c:strRef>
              <c:f>'Employee Count by Work Location'!$C$3:$C$4</c:f>
              <c:strCache>
                <c:ptCount val="1"/>
                <c:pt idx="0">
                  <c:v>Chennai, India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Location'!$C$5:$C$6</c:f>
              <c:numCache>
                <c:formatCode>General</c:formatCode>
                <c:ptCount val="2"/>
                <c:pt idx="0">
                  <c:v>26</c:v>
                </c:pt>
                <c:pt idx="1">
                  <c:v>7</c:v>
                </c:pt>
              </c:numCache>
            </c:numRef>
          </c:val>
          <c:extLst>
            <c:ext xmlns:c16="http://schemas.microsoft.com/office/drawing/2014/chart" uri="{C3380CC4-5D6E-409C-BE32-E72D297353CC}">
              <c16:uniqueId val="{00000018-6F3D-4EFF-9DAA-E5C0484CF878}"/>
            </c:ext>
          </c:extLst>
        </c:ser>
        <c:ser>
          <c:idx val="2"/>
          <c:order val="2"/>
          <c:tx>
            <c:strRef>
              <c:f>'Employee Count by Work Location'!$D$3:$D$4</c:f>
              <c:strCache>
                <c:ptCount val="1"/>
                <c:pt idx="0">
                  <c:v>Columbus, USA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Location'!$D$5:$D$6</c:f>
              <c:numCache>
                <c:formatCode>General</c:formatCode>
                <c:ptCount val="2"/>
                <c:pt idx="0">
                  <c:v>24</c:v>
                </c:pt>
                <c:pt idx="1">
                  <c:v>5</c:v>
                </c:pt>
              </c:numCache>
            </c:numRef>
          </c:val>
          <c:extLst>
            <c:ext xmlns:c16="http://schemas.microsoft.com/office/drawing/2014/chart" uri="{C3380CC4-5D6E-409C-BE32-E72D297353CC}">
              <c16:uniqueId val="{00000019-6F3D-4EFF-9DAA-E5C0484CF878}"/>
            </c:ext>
          </c:extLst>
        </c:ser>
        <c:ser>
          <c:idx val="3"/>
          <c:order val="3"/>
          <c:tx>
            <c:strRef>
              <c:f>'Employee Count by Work Location'!$E$3:$E$4</c:f>
              <c:strCache>
                <c:ptCount val="1"/>
                <c:pt idx="0">
                  <c:v>Hyderabad, India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Location'!$E$5:$E$6</c:f>
              <c:numCache>
                <c:formatCode>General</c:formatCode>
                <c:ptCount val="2"/>
                <c:pt idx="0">
                  <c:v>29</c:v>
                </c:pt>
                <c:pt idx="1">
                  <c:v>11</c:v>
                </c:pt>
              </c:numCache>
            </c:numRef>
          </c:val>
          <c:extLst>
            <c:ext xmlns:c16="http://schemas.microsoft.com/office/drawing/2014/chart" uri="{C3380CC4-5D6E-409C-BE32-E72D297353CC}">
              <c16:uniqueId val="{0000001A-6F3D-4EFF-9DAA-E5C0484CF878}"/>
            </c:ext>
          </c:extLst>
        </c:ser>
        <c:ser>
          <c:idx val="4"/>
          <c:order val="4"/>
          <c:tx>
            <c:strRef>
              <c:f>'Employee Count by Work Location'!$F$3:$F$4</c:f>
              <c:strCache>
                <c:ptCount val="1"/>
                <c:pt idx="0">
                  <c:v>Remote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Location'!$F$5:$F$6</c:f>
              <c:numCache>
                <c:formatCode>General</c:formatCode>
                <c:ptCount val="2"/>
                <c:pt idx="0">
                  <c:v>48</c:v>
                </c:pt>
                <c:pt idx="1">
                  <c:v>14</c:v>
                </c:pt>
              </c:numCache>
            </c:numRef>
          </c:val>
          <c:extLst>
            <c:ext xmlns:c16="http://schemas.microsoft.com/office/drawing/2014/chart" uri="{C3380CC4-5D6E-409C-BE32-E72D297353CC}">
              <c16:uniqueId val="{0000001B-6F3D-4EFF-9DAA-E5C0484CF878}"/>
            </c:ext>
          </c:extLst>
        </c:ser>
        <c:ser>
          <c:idx val="5"/>
          <c:order val="5"/>
          <c:tx>
            <c:strRef>
              <c:f>'Employee Count by Work Location'!$G$3:$G$4</c:f>
              <c:strCache>
                <c:ptCount val="1"/>
                <c:pt idx="0">
                  <c:v>Seattle, USA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Location'!$G$5:$G$6</c:f>
              <c:numCache>
                <c:formatCode>General</c:formatCode>
                <c:ptCount val="2"/>
                <c:pt idx="0">
                  <c:v>17</c:v>
                </c:pt>
                <c:pt idx="1">
                  <c:v>8</c:v>
                </c:pt>
              </c:numCache>
            </c:numRef>
          </c:val>
          <c:extLst>
            <c:ext xmlns:c16="http://schemas.microsoft.com/office/drawing/2014/chart" uri="{C3380CC4-5D6E-409C-BE32-E72D297353CC}">
              <c16:uniqueId val="{0000001C-6F3D-4EFF-9DAA-E5C0484CF878}"/>
            </c:ext>
          </c:extLst>
        </c:ser>
        <c:ser>
          <c:idx val="6"/>
          <c:order val="6"/>
          <c:tx>
            <c:strRef>
              <c:f>'Employee Count by Work Location'!$H$3:$H$4</c:f>
              <c:strCache>
                <c:ptCount val="1"/>
                <c:pt idx="0">
                  <c:v>Wellington, New Zealand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Location'!$H$5:$H$6</c:f>
              <c:numCache>
                <c:formatCode>General</c:formatCode>
                <c:ptCount val="2"/>
                <c:pt idx="0">
                  <c:v>24</c:v>
                </c:pt>
                <c:pt idx="1">
                  <c:v>3</c:v>
                </c:pt>
              </c:numCache>
            </c:numRef>
          </c:val>
          <c:extLst>
            <c:ext xmlns:c16="http://schemas.microsoft.com/office/drawing/2014/chart" uri="{C3380CC4-5D6E-409C-BE32-E72D297353CC}">
              <c16:uniqueId val="{00000000-4437-488D-A063-17303A406438}"/>
            </c:ext>
          </c:extLst>
        </c:ser>
        <c:dLbls>
          <c:dLblPos val="outEnd"/>
          <c:showLegendKey val="0"/>
          <c:showVal val="1"/>
          <c:showCatName val="0"/>
          <c:showSerName val="0"/>
          <c:showPercent val="0"/>
          <c:showBubbleSize val="0"/>
        </c:dLbls>
        <c:gapWidth val="219"/>
        <c:overlap val="-27"/>
        <c:axId val="1944964831"/>
        <c:axId val="1944961919"/>
      </c:barChart>
      <c:catAx>
        <c:axId val="194496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61919"/>
        <c:crosses val="autoZero"/>
        <c:auto val="1"/>
        <c:lblAlgn val="ctr"/>
        <c:lblOffset val="100"/>
        <c:noMultiLvlLbl val="0"/>
      </c:catAx>
      <c:valAx>
        <c:axId val="194496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backup.xlsx]Emp Gender Distribution (%)!PivotTable4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'Emp Gender Distribution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A3-4F83-98FB-46BEE5F42B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3-4F83-98FB-46BEE5F42B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Gender Distribution (%)'!$A$4:$A$6</c:f>
              <c:strCache>
                <c:ptCount val="2"/>
                <c:pt idx="0">
                  <c:v>Female</c:v>
                </c:pt>
                <c:pt idx="1">
                  <c:v>Male</c:v>
                </c:pt>
              </c:strCache>
            </c:strRef>
          </c:cat>
          <c:val>
            <c:numRef>
              <c:f>'Emp Gender Distribution (%)'!$B$4:$B$6</c:f>
              <c:numCache>
                <c:formatCode>0.00%</c:formatCode>
                <c:ptCount val="2"/>
                <c:pt idx="0">
                  <c:v>0.49795918367346936</c:v>
                </c:pt>
                <c:pt idx="1">
                  <c:v>0.50204081632653064</c:v>
                </c:pt>
              </c:numCache>
            </c:numRef>
          </c:val>
          <c:extLst>
            <c:ext xmlns:c16="http://schemas.microsoft.com/office/drawing/2014/chart" uri="{C3380CC4-5D6E-409C-BE32-E72D297353CC}">
              <c16:uniqueId val="{00000000-82F6-4C77-8A5D-865FAFF976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backup.xlsx]Monthly Emp Hiring by Gender!PivotTable5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Employee Hiring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Emp Hiring by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Emp Hiring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Emp Hiring by Gender'!$B$5:$B$16</c:f>
              <c:numCache>
                <c:formatCode>General</c:formatCode>
                <c:ptCount val="12"/>
                <c:pt idx="0">
                  <c:v>9</c:v>
                </c:pt>
                <c:pt idx="1">
                  <c:v>8</c:v>
                </c:pt>
                <c:pt idx="2">
                  <c:v>9</c:v>
                </c:pt>
                <c:pt idx="3">
                  <c:v>12</c:v>
                </c:pt>
                <c:pt idx="4">
                  <c:v>5</c:v>
                </c:pt>
                <c:pt idx="5">
                  <c:v>8</c:v>
                </c:pt>
                <c:pt idx="6">
                  <c:v>18</c:v>
                </c:pt>
                <c:pt idx="7">
                  <c:v>12</c:v>
                </c:pt>
                <c:pt idx="8">
                  <c:v>6</c:v>
                </c:pt>
                <c:pt idx="9">
                  <c:v>10</c:v>
                </c:pt>
                <c:pt idx="10">
                  <c:v>13</c:v>
                </c:pt>
                <c:pt idx="11">
                  <c:v>12</c:v>
                </c:pt>
              </c:numCache>
            </c:numRef>
          </c:val>
          <c:extLst>
            <c:ext xmlns:c16="http://schemas.microsoft.com/office/drawing/2014/chart" uri="{C3380CC4-5D6E-409C-BE32-E72D297353CC}">
              <c16:uniqueId val="{00000004-4BAD-4616-A965-01AFC6FE9B6B}"/>
            </c:ext>
          </c:extLst>
        </c:ser>
        <c:ser>
          <c:idx val="1"/>
          <c:order val="1"/>
          <c:tx>
            <c:strRef>
              <c:f>'Monthly Emp Hiring by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Emp Hiring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Emp Hiring by Gender'!$C$5:$C$16</c:f>
              <c:numCache>
                <c:formatCode>General</c:formatCode>
                <c:ptCount val="12"/>
                <c:pt idx="0">
                  <c:v>12</c:v>
                </c:pt>
                <c:pt idx="1">
                  <c:v>12</c:v>
                </c:pt>
                <c:pt idx="2">
                  <c:v>9</c:v>
                </c:pt>
                <c:pt idx="3">
                  <c:v>9</c:v>
                </c:pt>
                <c:pt idx="4">
                  <c:v>11</c:v>
                </c:pt>
                <c:pt idx="5">
                  <c:v>9</c:v>
                </c:pt>
                <c:pt idx="6">
                  <c:v>6</c:v>
                </c:pt>
                <c:pt idx="7">
                  <c:v>9</c:v>
                </c:pt>
                <c:pt idx="8">
                  <c:v>10</c:v>
                </c:pt>
                <c:pt idx="9">
                  <c:v>16</c:v>
                </c:pt>
                <c:pt idx="10">
                  <c:v>6</c:v>
                </c:pt>
                <c:pt idx="11">
                  <c:v>14</c:v>
                </c:pt>
              </c:numCache>
            </c:numRef>
          </c:val>
          <c:extLst>
            <c:ext xmlns:c16="http://schemas.microsoft.com/office/drawing/2014/chart" uri="{C3380CC4-5D6E-409C-BE32-E72D297353CC}">
              <c16:uniqueId val="{00000000-0E48-48A0-8B82-60B22C20064E}"/>
            </c:ext>
          </c:extLst>
        </c:ser>
        <c:dLbls>
          <c:dLblPos val="outEnd"/>
          <c:showLegendKey val="0"/>
          <c:showVal val="1"/>
          <c:showCatName val="0"/>
          <c:showSerName val="0"/>
          <c:showPercent val="0"/>
          <c:showBubbleSize val="0"/>
        </c:dLbls>
        <c:gapWidth val="219"/>
        <c:overlap val="-27"/>
        <c:axId val="1959270399"/>
        <c:axId val="1959271231"/>
      </c:barChart>
      <c:catAx>
        <c:axId val="19592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71231"/>
        <c:crosses val="autoZero"/>
        <c:auto val="1"/>
        <c:lblAlgn val="ctr"/>
        <c:lblOffset val="100"/>
        <c:noMultiLvlLbl val="0"/>
      </c:catAx>
      <c:valAx>
        <c:axId val="195927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7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backup.xlsx]Monthly Salary by Gender!PivotTable6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Salary by Gender</a:t>
            </a:r>
          </a:p>
        </c:rich>
      </c:tx>
      <c:layout>
        <c:manualLayout>
          <c:xMode val="edge"/>
          <c:yMode val="edge"/>
          <c:x val="0.26420854212140771"/>
          <c:y val="4.0967878837695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14650215012439E-2"/>
          <c:y val="0.16617553519689299"/>
          <c:w val="0.69367639540533288"/>
          <c:h val="0.75229017314897884"/>
        </c:manualLayout>
      </c:layout>
      <c:barChart>
        <c:barDir val="bar"/>
        <c:grouping val="clustered"/>
        <c:varyColors val="0"/>
        <c:ser>
          <c:idx val="0"/>
          <c:order val="0"/>
          <c:tx>
            <c:strRef>
              <c:f>'Monthly Salary by Gender'!$B$3:$B$4</c:f>
              <c:strCache>
                <c:ptCount val="1"/>
                <c:pt idx="0">
                  <c:v>Female</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8C0D-46C3-9337-A587AC9BFA8A}"/>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8C0D-46C3-9337-A587AC9BFA8A}"/>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2-8C0D-46C3-9337-A587AC9BFA8A}"/>
              </c:ext>
            </c:extLst>
          </c:dPt>
          <c:dPt>
            <c:idx val="10"/>
            <c:invertIfNegative val="0"/>
            <c:bubble3D val="0"/>
            <c:extLst>
              <c:ext xmlns:c16="http://schemas.microsoft.com/office/drawing/2014/chart" uri="{C3380CC4-5D6E-409C-BE32-E72D297353CC}">
                <c16:uniqueId val="{00000003-8C0D-46C3-9337-A587AC9BFA8A}"/>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4-8C0D-46C3-9337-A587AC9BFA8A}"/>
              </c:ext>
            </c:extLst>
          </c:dPt>
          <c:cat>
            <c:strRef>
              <c:f>'Monthly Salary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Salary by Gender'!$B$5:$B$16</c:f>
              <c:numCache>
                <c:formatCode>General</c:formatCode>
                <c:ptCount val="12"/>
                <c:pt idx="0">
                  <c:v>639510.80000000005</c:v>
                </c:pt>
                <c:pt idx="1">
                  <c:v>666993.94999999995</c:v>
                </c:pt>
                <c:pt idx="2">
                  <c:v>625460.06000000006</c:v>
                </c:pt>
                <c:pt idx="3">
                  <c:v>936364.85</c:v>
                </c:pt>
                <c:pt idx="4">
                  <c:v>296505.42499999999</c:v>
                </c:pt>
                <c:pt idx="5">
                  <c:v>491756.99</c:v>
                </c:pt>
                <c:pt idx="6">
                  <c:v>1394559.5999999999</c:v>
                </c:pt>
                <c:pt idx="7">
                  <c:v>870193.1549999998</c:v>
                </c:pt>
                <c:pt idx="8">
                  <c:v>411345.88</c:v>
                </c:pt>
                <c:pt idx="9">
                  <c:v>528804.75</c:v>
                </c:pt>
                <c:pt idx="10">
                  <c:v>993264.85</c:v>
                </c:pt>
                <c:pt idx="11">
                  <c:v>897481.37000000011</c:v>
                </c:pt>
              </c:numCache>
            </c:numRef>
          </c:val>
          <c:extLst>
            <c:ext xmlns:c16="http://schemas.microsoft.com/office/drawing/2014/chart" uri="{C3380CC4-5D6E-409C-BE32-E72D297353CC}">
              <c16:uniqueId val="{00000004-C370-45B3-9D00-B7ED8134BCB6}"/>
            </c:ext>
          </c:extLst>
        </c:ser>
        <c:ser>
          <c:idx val="1"/>
          <c:order val="1"/>
          <c:tx>
            <c:strRef>
              <c:f>'Monthly Salary by Gender'!$C$3:$C$4</c:f>
              <c:strCache>
                <c:ptCount val="1"/>
                <c:pt idx="0">
                  <c:v>Male</c:v>
                </c:pt>
              </c:strCache>
            </c:strRef>
          </c:tx>
          <c:spPr>
            <a:solidFill>
              <a:schemeClr val="accent2"/>
            </a:solidFill>
            <a:ln>
              <a:noFill/>
            </a:ln>
            <a:effectLst/>
          </c:spPr>
          <c:invertIfNegative val="0"/>
          <c:dPt>
            <c:idx val="2"/>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10"/>
            <c:invertIfNegative val="0"/>
            <c:bubble3D val="0"/>
            <c:spPr>
              <a:solidFill>
                <a:schemeClr val="accent2"/>
              </a:solidFill>
              <a:ln>
                <a:noFill/>
              </a:ln>
              <a:effectLst/>
            </c:spPr>
          </c:dPt>
          <c:dPt>
            <c:idx val="11"/>
            <c:invertIfNegative val="0"/>
            <c:bubble3D val="0"/>
            <c:spPr>
              <a:solidFill>
                <a:schemeClr val="accent2"/>
              </a:solidFill>
              <a:ln>
                <a:noFill/>
              </a:ln>
              <a:effectLst/>
            </c:spPr>
          </c:dPt>
          <c:cat>
            <c:strRef>
              <c:f>'Monthly Salary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Salary by Gender'!$C$5:$C$16</c:f>
              <c:numCache>
                <c:formatCode>General</c:formatCode>
                <c:ptCount val="12"/>
                <c:pt idx="0">
                  <c:v>707340.79999999993</c:v>
                </c:pt>
                <c:pt idx="1">
                  <c:v>969614.64999999991</c:v>
                </c:pt>
                <c:pt idx="2">
                  <c:v>636733.38</c:v>
                </c:pt>
                <c:pt idx="3">
                  <c:v>666343.38000000012</c:v>
                </c:pt>
                <c:pt idx="4">
                  <c:v>886497.8600000001</c:v>
                </c:pt>
                <c:pt idx="5">
                  <c:v>632123.18999999994</c:v>
                </c:pt>
                <c:pt idx="6">
                  <c:v>465922.03</c:v>
                </c:pt>
                <c:pt idx="7">
                  <c:v>754113.85</c:v>
                </c:pt>
                <c:pt idx="8">
                  <c:v>605758.56999999995</c:v>
                </c:pt>
                <c:pt idx="9">
                  <c:v>1182948.6199999999</c:v>
                </c:pt>
                <c:pt idx="10">
                  <c:v>329346.07499999995</c:v>
                </c:pt>
                <c:pt idx="11">
                  <c:v>1007180.5900000001</c:v>
                </c:pt>
              </c:numCache>
            </c:numRef>
          </c:val>
          <c:extLst>
            <c:ext xmlns:c16="http://schemas.microsoft.com/office/drawing/2014/chart" uri="{C3380CC4-5D6E-409C-BE32-E72D297353CC}">
              <c16:uniqueId val="{0000000D-555F-4156-A978-32AA7B1557F5}"/>
            </c:ext>
          </c:extLst>
        </c:ser>
        <c:dLbls>
          <c:showLegendKey val="0"/>
          <c:showVal val="0"/>
          <c:showCatName val="0"/>
          <c:showSerName val="0"/>
          <c:showPercent val="0"/>
          <c:showBubbleSize val="0"/>
        </c:dLbls>
        <c:gapWidth val="181"/>
        <c:overlap val="-1"/>
        <c:axId val="2068801935"/>
        <c:axId val="2068801103"/>
      </c:barChart>
      <c:valAx>
        <c:axId val="206880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01935"/>
        <c:crosses val="autoZero"/>
        <c:crossBetween val="between"/>
      </c:valAx>
      <c:catAx>
        <c:axId val="206880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01103"/>
        <c:crosses val="autoZero"/>
        <c:auto val="1"/>
        <c:lblAlgn val="ctr"/>
        <c:lblOffset val="100"/>
        <c:noMultiLvlLbl val="0"/>
      </c:catAx>
      <c:spPr>
        <a:noFill/>
        <a:ln>
          <a:noFill/>
        </a:ln>
        <a:effectLst/>
      </c:spPr>
    </c:plotArea>
    <c:legend>
      <c:legendPos val="r"/>
      <c:layout>
        <c:manualLayout>
          <c:xMode val="edge"/>
          <c:yMode val="edge"/>
          <c:x val="0.7390610483313016"/>
          <c:y val="3.2822376104642642E-2"/>
          <c:w val="0.12244967331162662"/>
          <c:h val="0.151212282743558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backup.xlsx]Dept-wise Salary Distribution!PivotTable7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Dept-wise Salary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'Dept-wise Salary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F9-476B-8E5E-0EA1E49A7F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F9-476B-8E5E-0EA1E49A7F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F9-476B-8E5E-0EA1E49A7F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F9-476B-8E5E-0EA1E49A7F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F9-476B-8E5E-0EA1E49A7F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F9-476B-8E5E-0EA1E49A7F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F9-476B-8E5E-0EA1E49A7F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F9-476B-8E5E-0EA1E49A7F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F9-476B-8E5E-0EA1E49A7F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F9-476B-8E5E-0EA1E49A7FC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EF9-476B-8E5E-0EA1E49A7FC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EF9-476B-8E5E-0EA1E49A7FC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EF9-476B-8E5E-0EA1E49A7F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'Dept-wise Salary Distribution'!$A$4:$A$16</c:f>
              <c:strCache>
                <c:ptCount val="13"/>
                <c:pt idx="0">
                  <c:v>Accounting</c:v>
                </c:pt>
                <c:pt idx="1">
                  <c:v>Business Development</c:v>
                </c:pt>
                <c:pt idx="2">
                  <c:v>Engineering</c:v>
                </c:pt>
                <c:pt idx="3">
                  <c:v>Human Resources</c:v>
                </c:pt>
                <c:pt idx="4">
                  <c:v>Legal</c:v>
                </c:pt>
                <c:pt idx="5">
                  <c:v>Marketing</c:v>
                </c:pt>
                <c:pt idx="6">
                  <c:v>NULL</c:v>
                </c:pt>
                <c:pt idx="7">
                  <c:v>Product Management</c:v>
                </c:pt>
                <c:pt idx="8">
                  <c:v>Research and Development</c:v>
                </c:pt>
                <c:pt idx="9">
                  <c:v>Sales</c:v>
                </c:pt>
                <c:pt idx="10">
                  <c:v>Services</c:v>
                </c:pt>
                <c:pt idx="11">
                  <c:v>Support</c:v>
                </c:pt>
                <c:pt idx="12">
                  <c:v>Training</c:v>
                </c:pt>
              </c:strCache>
            </c:strRef>
          </c:cat>
          <c:val>
            <c:numRef>
              <c:f>'Dept-wise Salary Distribution'!$B$4:$B$16</c:f>
              <c:numCache>
                <c:formatCode>0.00%</c:formatCode>
                <c:ptCount val="13"/>
                <c:pt idx="0">
                  <c:v>9.7004661329699648E-2</c:v>
                </c:pt>
                <c:pt idx="1">
                  <c:v>9.2814422356501391E-2</c:v>
                </c:pt>
                <c:pt idx="2">
                  <c:v>8.3984637123771411E-2</c:v>
                </c:pt>
                <c:pt idx="3">
                  <c:v>8.2780991591282688E-2</c:v>
                </c:pt>
                <c:pt idx="4">
                  <c:v>7.2303943131857493E-2</c:v>
                </c:pt>
                <c:pt idx="5">
                  <c:v>4.3946826725182367E-2</c:v>
                </c:pt>
                <c:pt idx="6">
                  <c:v>4.4601562584546561E-2</c:v>
                </c:pt>
                <c:pt idx="7">
                  <c:v>0.105705645767378</c:v>
                </c:pt>
                <c:pt idx="8">
                  <c:v>6.8420283467255053E-2</c:v>
                </c:pt>
                <c:pt idx="9">
                  <c:v>6.3240773234011574E-2</c:v>
                </c:pt>
                <c:pt idx="10">
                  <c:v>7.6900842597962329E-2</c:v>
                </c:pt>
                <c:pt idx="11">
                  <c:v>6.8050557159269123E-2</c:v>
                </c:pt>
                <c:pt idx="12">
                  <c:v>0.1002448529312823</c:v>
                </c:pt>
              </c:numCache>
            </c:numRef>
          </c:val>
          <c:extLst>
            <c:ext xmlns:c16="http://schemas.microsoft.com/office/drawing/2014/chart" uri="{C3380CC4-5D6E-409C-BE32-E72D297353CC}">
              <c16:uniqueId val="{0000000C-F1B1-4268-AE4A-48AA1918D6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backup.xlsx]Total Salary by Gender!PivotTable1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Salary by Gender</a:t>
            </a:r>
          </a:p>
        </c:rich>
      </c:tx>
      <c:layout>
        <c:manualLayout>
          <c:xMode val="edge"/>
          <c:yMode val="edge"/>
          <c:x val="0.35968413379994119"/>
          <c:y val="2.2777776781374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77931953141796E-2"/>
          <c:y val="0.16119293740130508"/>
          <c:w val="0.68799618893409464"/>
          <c:h val="0.71838129223852121"/>
        </c:manualLayout>
      </c:layout>
      <c:barChart>
        <c:barDir val="col"/>
        <c:grouping val="clustered"/>
        <c:varyColors val="0"/>
        <c:ser>
          <c:idx val="0"/>
          <c:order val="0"/>
          <c:tx>
            <c:strRef>
              <c:f>'Total Salary by Gender'!$B$3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Salary by Gender'!$A$4:$A$5</c:f>
              <c:strCache>
                <c:ptCount val="2"/>
                <c:pt idx="0">
                  <c:v>Female</c:v>
                </c:pt>
                <c:pt idx="1">
                  <c:v>Male</c:v>
                </c:pt>
              </c:strCache>
            </c:strRef>
          </c:cat>
          <c:val>
            <c:numRef>
              <c:f>'Total Salary by Gender'!$B$4:$B$5</c:f>
              <c:numCache>
                <c:formatCode>General</c:formatCode>
                <c:ptCount val="2"/>
                <c:pt idx="0">
                  <c:v>8752241.6800000053</c:v>
                </c:pt>
                <c:pt idx="1">
                  <c:v>8843922.9949999973</c:v>
                </c:pt>
              </c:numCache>
            </c:numRef>
          </c:val>
          <c:extLst>
            <c:ext xmlns:c16="http://schemas.microsoft.com/office/drawing/2014/chart" uri="{C3380CC4-5D6E-409C-BE32-E72D297353CC}">
              <c16:uniqueId val="{00000000-E994-4A04-A8F3-84E0D3348F9F}"/>
            </c:ext>
          </c:extLst>
        </c:ser>
        <c:dLbls>
          <c:dLblPos val="outEnd"/>
          <c:showLegendKey val="0"/>
          <c:showVal val="1"/>
          <c:showCatName val="0"/>
          <c:showSerName val="0"/>
          <c:showPercent val="0"/>
          <c:showBubbleSize val="0"/>
        </c:dLbls>
        <c:gapWidth val="219"/>
        <c:overlap val="-27"/>
        <c:axId val="1849950831"/>
        <c:axId val="1849948335"/>
      </c:barChart>
      <c:catAx>
        <c:axId val="184995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48335"/>
        <c:crosses val="autoZero"/>
        <c:auto val="1"/>
        <c:lblAlgn val="ctr"/>
        <c:lblOffset val="100"/>
        <c:noMultiLvlLbl val="0"/>
      </c:catAx>
      <c:valAx>
        <c:axId val="1849948335"/>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50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backup.xlsx]Dept-wise Salary Distribution!PivotTable7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Dept-wise Salary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'Dept-wise Salary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EE-4FE7-A5BB-5F799AF7D5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EE-4FE7-A5BB-5F799AF7D5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EE-4FE7-A5BB-5F799AF7D5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EE-4FE7-A5BB-5F799AF7D5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EE-4FE7-A5BB-5F799AF7D5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EE-4FE7-A5BB-5F799AF7D57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EE-4FE7-A5BB-5F799AF7D57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7EE-4FE7-A5BB-5F799AF7D57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7EE-4FE7-A5BB-5F799AF7D57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7EE-4FE7-A5BB-5F799AF7D57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7EE-4FE7-A5BB-5F799AF7D57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7EE-4FE7-A5BB-5F799AF7D57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7EE-4FE7-A5BB-5F799AF7D5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'Dept-wise Salary Distribution'!$A$4:$A$16</c:f>
              <c:strCache>
                <c:ptCount val="13"/>
                <c:pt idx="0">
                  <c:v>Accounting</c:v>
                </c:pt>
                <c:pt idx="1">
                  <c:v>Business Development</c:v>
                </c:pt>
                <c:pt idx="2">
                  <c:v>Engineering</c:v>
                </c:pt>
                <c:pt idx="3">
                  <c:v>Human Resources</c:v>
                </c:pt>
                <c:pt idx="4">
                  <c:v>Legal</c:v>
                </c:pt>
                <c:pt idx="5">
                  <c:v>Marketing</c:v>
                </c:pt>
                <c:pt idx="6">
                  <c:v>NULL</c:v>
                </c:pt>
                <c:pt idx="7">
                  <c:v>Product Management</c:v>
                </c:pt>
                <c:pt idx="8">
                  <c:v>Research and Development</c:v>
                </c:pt>
                <c:pt idx="9">
                  <c:v>Sales</c:v>
                </c:pt>
                <c:pt idx="10">
                  <c:v>Services</c:v>
                </c:pt>
                <c:pt idx="11">
                  <c:v>Support</c:v>
                </c:pt>
                <c:pt idx="12">
                  <c:v>Training</c:v>
                </c:pt>
              </c:strCache>
            </c:strRef>
          </c:cat>
          <c:val>
            <c:numRef>
              <c:f>'Dept-wise Salary Distribution'!$B$4:$B$16</c:f>
              <c:numCache>
                <c:formatCode>0.00%</c:formatCode>
                <c:ptCount val="13"/>
                <c:pt idx="0">
                  <c:v>9.7004661329699648E-2</c:v>
                </c:pt>
                <c:pt idx="1">
                  <c:v>9.2814422356501391E-2</c:v>
                </c:pt>
                <c:pt idx="2">
                  <c:v>8.3984637123771411E-2</c:v>
                </c:pt>
                <c:pt idx="3">
                  <c:v>8.2780991591282688E-2</c:v>
                </c:pt>
                <c:pt idx="4">
                  <c:v>7.2303943131857493E-2</c:v>
                </c:pt>
                <c:pt idx="5">
                  <c:v>4.3946826725182367E-2</c:v>
                </c:pt>
                <c:pt idx="6">
                  <c:v>4.4601562584546561E-2</c:v>
                </c:pt>
                <c:pt idx="7">
                  <c:v>0.105705645767378</c:v>
                </c:pt>
                <c:pt idx="8">
                  <c:v>6.8420283467255053E-2</c:v>
                </c:pt>
                <c:pt idx="9">
                  <c:v>6.3240773234011574E-2</c:v>
                </c:pt>
                <c:pt idx="10">
                  <c:v>7.6900842597962329E-2</c:v>
                </c:pt>
                <c:pt idx="11">
                  <c:v>6.8050557159269123E-2</c:v>
                </c:pt>
                <c:pt idx="12">
                  <c:v>0.1002448529312823</c:v>
                </c:pt>
              </c:numCache>
            </c:numRef>
          </c:val>
          <c:extLst>
            <c:ext xmlns:c16="http://schemas.microsoft.com/office/drawing/2014/chart" uri="{C3380CC4-5D6E-409C-BE32-E72D297353CC}">
              <c16:uniqueId val="{0000001A-67EE-4FE7-A5BB-5F799AF7D5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backup.xlsx]Monthly Salary by Gender!PivotTable6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Salary by Gender</a:t>
            </a:r>
          </a:p>
        </c:rich>
      </c:tx>
      <c:layout>
        <c:manualLayout>
          <c:xMode val="edge"/>
          <c:yMode val="edge"/>
          <c:x val="0.26420854212140771"/>
          <c:y val="4.0967878837695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s>
    <c:plotArea>
      <c:layout>
        <c:manualLayout>
          <c:layoutTarget val="inner"/>
          <c:xMode val="edge"/>
          <c:yMode val="edge"/>
          <c:x val="8.9014650215012439E-2"/>
          <c:y val="0.16617553519689299"/>
          <c:w val="0.69367639540533288"/>
          <c:h val="0.75229017314897884"/>
        </c:manualLayout>
      </c:layout>
      <c:barChart>
        <c:barDir val="bar"/>
        <c:grouping val="clustered"/>
        <c:varyColors val="0"/>
        <c:ser>
          <c:idx val="0"/>
          <c:order val="0"/>
          <c:tx>
            <c:strRef>
              <c:f>'Monthly Salary by Gender'!$B$3:$B$4</c:f>
              <c:strCache>
                <c:ptCount val="1"/>
                <c:pt idx="0">
                  <c:v>Female</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0B95-4F9C-B978-DDDF42AAF39C}"/>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3-0B95-4F9C-B978-DDDF42AAF39C}"/>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5-0B95-4F9C-B978-DDDF42AAF39C}"/>
              </c:ext>
            </c:extLst>
          </c:dPt>
          <c:dPt>
            <c:idx val="10"/>
            <c:invertIfNegative val="0"/>
            <c:bubble3D val="0"/>
            <c:extLst>
              <c:ext xmlns:c16="http://schemas.microsoft.com/office/drawing/2014/chart" uri="{C3380CC4-5D6E-409C-BE32-E72D297353CC}">
                <c16:uniqueId val="{00000006-0B95-4F9C-B978-DDDF42AAF39C}"/>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8-0B95-4F9C-B978-DDDF42AAF39C}"/>
              </c:ext>
            </c:extLst>
          </c:dPt>
          <c:cat>
            <c:strRef>
              <c:f>'Monthly Salary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Salary by Gender'!$B$5:$B$16</c:f>
              <c:numCache>
                <c:formatCode>General</c:formatCode>
                <c:ptCount val="12"/>
                <c:pt idx="0">
                  <c:v>639510.80000000005</c:v>
                </c:pt>
                <c:pt idx="1">
                  <c:v>666993.94999999995</c:v>
                </c:pt>
                <c:pt idx="2">
                  <c:v>625460.06000000006</c:v>
                </c:pt>
                <c:pt idx="3">
                  <c:v>936364.85</c:v>
                </c:pt>
                <c:pt idx="4">
                  <c:v>296505.42499999999</c:v>
                </c:pt>
                <c:pt idx="5">
                  <c:v>491756.99</c:v>
                </c:pt>
                <c:pt idx="6">
                  <c:v>1394559.5999999999</c:v>
                </c:pt>
                <c:pt idx="7">
                  <c:v>870193.1549999998</c:v>
                </c:pt>
                <c:pt idx="8">
                  <c:v>411345.88</c:v>
                </c:pt>
                <c:pt idx="9">
                  <c:v>528804.75</c:v>
                </c:pt>
                <c:pt idx="10">
                  <c:v>993264.85</c:v>
                </c:pt>
                <c:pt idx="11">
                  <c:v>897481.37000000011</c:v>
                </c:pt>
              </c:numCache>
            </c:numRef>
          </c:val>
          <c:extLst>
            <c:ext xmlns:c16="http://schemas.microsoft.com/office/drawing/2014/chart" uri="{C3380CC4-5D6E-409C-BE32-E72D297353CC}">
              <c16:uniqueId val="{00000009-0B95-4F9C-B978-DDDF42AAF39C}"/>
            </c:ext>
          </c:extLst>
        </c:ser>
        <c:ser>
          <c:idx val="1"/>
          <c:order val="1"/>
          <c:tx>
            <c:strRef>
              <c:f>'Monthly Salary by Gender'!$C$3:$C$4</c:f>
              <c:strCache>
                <c:ptCount val="1"/>
                <c:pt idx="0">
                  <c:v>Male</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B-0B95-4F9C-B978-DDDF42AAF39C}"/>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D-0B95-4F9C-B978-DDDF42AAF39C}"/>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F-0B95-4F9C-B978-DDDF42AAF39C}"/>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11-0B95-4F9C-B978-DDDF42AAF39C}"/>
              </c:ext>
            </c:extLst>
          </c:dPt>
          <c:cat>
            <c:strRef>
              <c:f>'Monthly Salary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Salary by Gender'!$C$5:$C$16</c:f>
              <c:numCache>
                <c:formatCode>General</c:formatCode>
                <c:ptCount val="12"/>
                <c:pt idx="0">
                  <c:v>707340.79999999993</c:v>
                </c:pt>
                <c:pt idx="1">
                  <c:v>969614.64999999991</c:v>
                </c:pt>
                <c:pt idx="2">
                  <c:v>636733.38</c:v>
                </c:pt>
                <c:pt idx="3">
                  <c:v>666343.38000000012</c:v>
                </c:pt>
                <c:pt idx="4">
                  <c:v>886497.8600000001</c:v>
                </c:pt>
                <c:pt idx="5">
                  <c:v>632123.18999999994</c:v>
                </c:pt>
                <c:pt idx="6">
                  <c:v>465922.03</c:v>
                </c:pt>
                <c:pt idx="7">
                  <c:v>754113.85</c:v>
                </c:pt>
                <c:pt idx="8">
                  <c:v>605758.56999999995</c:v>
                </c:pt>
                <c:pt idx="9">
                  <c:v>1182948.6199999999</c:v>
                </c:pt>
                <c:pt idx="10">
                  <c:v>329346.07499999995</c:v>
                </c:pt>
                <c:pt idx="11">
                  <c:v>1007180.5900000001</c:v>
                </c:pt>
              </c:numCache>
            </c:numRef>
          </c:val>
          <c:extLst>
            <c:ext xmlns:c16="http://schemas.microsoft.com/office/drawing/2014/chart" uri="{C3380CC4-5D6E-409C-BE32-E72D297353CC}">
              <c16:uniqueId val="{00000012-0B95-4F9C-B978-DDDF42AAF39C}"/>
            </c:ext>
          </c:extLst>
        </c:ser>
        <c:dLbls>
          <c:showLegendKey val="0"/>
          <c:showVal val="0"/>
          <c:showCatName val="0"/>
          <c:showSerName val="0"/>
          <c:showPercent val="0"/>
          <c:showBubbleSize val="0"/>
        </c:dLbls>
        <c:gapWidth val="181"/>
        <c:overlap val="-1"/>
        <c:axId val="2068801935"/>
        <c:axId val="2068801103"/>
      </c:barChart>
      <c:valAx>
        <c:axId val="206880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01935"/>
        <c:crosses val="autoZero"/>
        <c:crossBetween val="between"/>
      </c:valAx>
      <c:catAx>
        <c:axId val="206880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01103"/>
        <c:crosses val="autoZero"/>
        <c:auto val="1"/>
        <c:lblAlgn val="ctr"/>
        <c:lblOffset val="100"/>
        <c:noMultiLvlLbl val="0"/>
      </c:catAx>
      <c:spPr>
        <a:noFill/>
        <a:ln>
          <a:noFill/>
        </a:ln>
        <a:effectLst/>
      </c:spPr>
    </c:plotArea>
    <c:legend>
      <c:legendPos val="r"/>
      <c:layout>
        <c:manualLayout>
          <c:xMode val="edge"/>
          <c:yMode val="edge"/>
          <c:x val="0.7390610483313016"/>
          <c:y val="3.2822376104642642E-2"/>
          <c:w val="0.12244967331162662"/>
          <c:h val="0.151212282743558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backup.xlsx]Monthly Emp Hiring by Gender!PivotTable5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Employee Hiring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Emp Hiring by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Emp Hiring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Emp Hiring by Gender'!$B$5:$B$16</c:f>
              <c:numCache>
                <c:formatCode>General</c:formatCode>
                <c:ptCount val="12"/>
                <c:pt idx="0">
                  <c:v>9</c:v>
                </c:pt>
                <c:pt idx="1">
                  <c:v>8</c:v>
                </c:pt>
                <c:pt idx="2">
                  <c:v>9</c:v>
                </c:pt>
                <c:pt idx="3">
                  <c:v>12</c:v>
                </c:pt>
                <c:pt idx="4">
                  <c:v>5</c:v>
                </c:pt>
                <c:pt idx="5">
                  <c:v>8</c:v>
                </c:pt>
                <c:pt idx="6">
                  <c:v>18</c:v>
                </c:pt>
                <c:pt idx="7">
                  <c:v>12</c:v>
                </c:pt>
                <c:pt idx="8">
                  <c:v>6</c:v>
                </c:pt>
                <c:pt idx="9">
                  <c:v>10</c:v>
                </c:pt>
                <c:pt idx="10">
                  <c:v>13</c:v>
                </c:pt>
                <c:pt idx="11">
                  <c:v>12</c:v>
                </c:pt>
              </c:numCache>
            </c:numRef>
          </c:val>
          <c:extLst>
            <c:ext xmlns:c16="http://schemas.microsoft.com/office/drawing/2014/chart" uri="{C3380CC4-5D6E-409C-BE32-E72D297353CC}">
              <c16:uniqueId val="{00000000-6695-4746-9E35-BA075064814D}"/>
            </c:ext>
          </c:extLst>
        </c:ser>
        <c:ser>
          <c:idx val="1"/>
          <c:order val="1"/>
          <c:tx>
            <c:strRef>
              <c:f>'Monthly Emp Hiring by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Emp Hiring by Gender'!$A$5:$A$16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Emp Hiring by Gender'!$C$5:$C$16</c:f>
              <c:numCache>
                <c:formatCode>General</c:formatCode>
                <c:ptCount val="12"/>
                <c:pt idx="0">
                  <c:v>12</c:v>
                </c:pt>
                <c:pt idx="1">
                  <c:v>12</c:v>
                </c:pt>
                <c:pt idx="2">
                  <c:v>9</c:v>
                </c:pt>
                <c:pt idx="3">
                  <c:v>9</c:v>
                </c:pt>
                <c:pt idx="4">
                  <c:v>11</c:v>
                </c:pt>
                <c:pt idx="5">
                  <c:v>9</c:v>
                </c:pt>
                <c:pt idx="6">
                  <c:v>6</c:v>
                </c:pt>
                <c:pt idx="7">
                  <c:v>9</c:v>
                </c:pt>
                <c:pt idx="8">
                  <c:v>10</c:v>
                </c:pt>
                <c:pt idx="9">
                  <c:v>16</c:v>
                </c:pt>
                <c:pt idx="10">
                  <c:v>6</c:v>
                </c:pt>
                <c:pt idx="11">
                  <c:v>14</c:v>
                </c:pt>
              </c:numCache>
            </c:numRef>
          </c:val>
          <c:extLst>
            <c:ext xmlns:c16="http://schemas.microsoft.com/office/drawing/2014/chart" uri="{C3380CC4-5D6E-409C-BE32-E72D297353CC}">
              <c16:uniqueId val="{00000001-6695-4746-9E35-BA075064814D}"/>
            </c:ext>
          </c:extLst>
        </c:ser>
        <c:dLbls>
          <c:dLblPos val="outEnd"/>
          <c:showLegendKey val="0"/>
          <c:showVal val="1"/>
          <c:showCatName val="0"/>
          <c:showSerName val="0"/>
          <c:showPercent val="0"/>
          <c:showBubbleSize val="0"/>
        </c:dLbls>
        <c:gapWidth val="219"/>
        <c:overlap val="-27"/>
        <c:axId val="1959270399"/>
        <c:axId val="1959271231"/>
      </c:barChart>
      <c:catAx>
        <c:axId val="19592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71231"/>
        <c:crosses val="autoZero"/>
        <c:auto val="1"/>
        <c:lblAlgn val="ctr"/>
        <c:lblOffset val="100"/>
        <c:noMultiLvlLbl val="0"/>
      </c:catAx>
      <c:valAx>
        <c:axId val="195927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7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backup.xlsx]Emp Gender Distribution (%)!PivotTable4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'Emp Gender Distribution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A5-4C75-8465-85BE3AAE80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A5-4C75-8465-85BE3AAE80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Gender Distribution (%)'!$A$4:$A$6</c:f>
              <c:strCache>
                <c:ptCount val="2"/>
                <c:pt idx="0">
                  <c:v>Female</c:v>
                </c:pt>
                <c:pt idx="1">
                  <c:v>Male</c:v>
                </c:pt>
              </c:strCache>
            </c:strRef>
          </c:cat>
          <c:val>
            <c:numRef>
              <c:f>'Emp Gender Distribution (%)'!$B$4:$B$6</c:f>
              <c:numCache>
                <c:formatCode>0.00%</c:formatCode>
                <c:ptCount val="2"/>
                <c:pt idx="0">
                  <c:v>0.49795918367346936</c:v>
                </c:pt>
                <c:pt idx="1">
                  <c:v>0.50204081632653064</c:v>
                </c:pt>
              </c:numCache>
            </c:numRef>
          </c:val>
          <c:extLst>
            <c:ext xmlns:c16="http://schemas.microsoft.com/office/drawing/2014/chart" uri="{C3380CC4-5D6E-409C-BE32-E72D297353CC}">
              <c16:uniqueId val="{00000004-93A5-4C75-8465-85BE3AAE80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backup.xlsx]Employee Count by Work Location!PivotTable3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r>
              <a:rPr lang="en-IN"/>
              <a:t>Employee Count by Work Location and Employment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Count by Work Location'!$B$3:$B$4</c:f>
              <c:strCache>
                <c:ptCount val="1"/>
                <c:pt idx="0">
                  <c:v>Auckland, New Zealand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Location'!$B$5:$B$6</c:f>
              <c:numCache>
                <c:formatCode>General</c:formatCode>
                <c:ptCount val="2"/>
                <c:pt idx="0">
                  <c:v>23</c:v>
                </c:pt>
                <c:pt idx="1">
                  <c:v>6</c:v>
                </c:pt>
              </c:numCache>
            </c:numRef>
          </c:val>
          <c:extLst>
            <c:ext xmlns:c16="http://schemas.microsoft.com/office/drawing/2014/chart" uri="{C3380CC4-5D6E-409C-BE32-E72D297353CC}">
              <c16:uniqueId val="{00000000-69AF-4181-BECA-EF466E7F630E}"/>
            </c:ext>
          </c:extLst>
        </c:ser>
        <c:ser>
          <c:idx val="1"/>
          <c:order val="1"/>
          <c:tx>
            <c:strRef>
              <c:f>'Employee Count by Work Location'!$C$3:$C$4</c:f>
              <c:strCache>
                <c:ptCount val="1"/>
                <c:pt idx="0">
                  <c:v>Chennai, India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Location'!$C$5:$C$6</c:f>
              <c:numCache>
                <c:formatCode>General</c:formatCode>
                <c:ptCount val="2"/>
                <c:pt idx="0">
                  <c:v>26</c:v>
                </c:pt>
                <c:pt idx="1">
                  <c:v>7</c:v>
                </c:pt>
              </c:numCache>
            </c:numRef>
          </c:val>
          <c:extLst>
            <c:ext xmlns:c16="http://schemas.microsoft.com/office/drawing/2014/chart" uri="{C3380CC4-5D6E-409C-BE32-E72D297353CC}">
              <c16:uniqueId val="{00000001-69AF-4181-BECA-EF466E7F630E}"/>
            </c:ext>
          </c:extLst>
        </c:ser>
        <c:ser>
          <c:idx val="2"/>
          <c:order val="2"/>
          <c:tx>
            <c:strRef>
              <c:f>'Employee Count by Work Location'!$D$3:$D$4</c:f>
              <c:strCache>
                <c:ptCount val="1"/>
                <c:pt idx="0">
                  <c:v>Columbus, USA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Location'!$D$5:$D$6</c:f>
              <c:numCache>
                <c:formatCode>General</c:formatCode>
                <c:ptCount val="2"/>
                <c:pt idx="0">
                  <c:v>24</c:v>
                </c:pt>
                <c:pt idx="1">
                  <c:v>5</c:v>
                </c:pt>
              </c:numCache>
            </c:numRef>
          </c:val>
          <c:extLst>
            <c:ext xmlns:c16="http://schemas.microsoft.com/office/drawing/2014/chart" uri="{C3380CC4-5D6E-409C-BE32-E72D297353CC}">
              <c16:uniqueId val="{00000002-69AF-4181-BECA-EF466E7F630E}"/>
            </c:ext>
          </c:extLst>
        </c:ser>
        <c:ser>
          <c:idx val="3"/>
          <c:order val="3"/>
          <c:tx>
            <c:strRef>
              <c:f>'Employee Count by Work Location'!$E$3:$E$4</c:f>
              <c:strCache>
                <c:ptCount val="1"/>
                <c:pt idx="0">
                  <c:v>Hyderabad, India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Location'!$E$5:$E$6</c:f>
              <c:numCache>
                <c:formatCode>General</c:formatCode>
                <c:ptCount val="2"/>
                <c:pt idx="0">
                  <c:v>29</c:v>
                </c:pt>
                <c:pt idx="1">
                  <c:v>11</c:v>
                </c:pt>
              </c:numCache>
            </c:numRef>
          </c:val>
          <c:extLst>
            <c:ext xmlns:c16="http://schemas.microsoft.com/office/drawing/2014/chart" uri="{C3380CC4-5D6E-409C-BE32-E72D297353CC}">
              <c16:uniqueId val="{00000003-69AF-4181-BECA-EF466E7F630E}"/>
            </c:ext>
          </c:extLst>
        </c:ser>
        <c:ser>
          <c:idx val="4"/>
          <c:order val="4"/>
          <c:tx>
            <c:strRef>
              <c:f>'Employee Count by Work Location'!$F$3:$F$4</c:f>
              <c:strCache>
                <c:ptCount val="1"/>
                <c:pt idx="0">
                  <c:v>Remote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Location'!$F$5:$F$6</c:f>
              <c:numCache>
                <c:formatCode>General</c:formatCode>
                <c:ptCount val="2"/>
                <c:pt idx="0">
                  <c:v>48</c:v>
                </c:pt>
                <c:pt idx="1">
                  <c:v>14</c:v>
                </c:pt>
              </c:numCache>
            </c:numRef>
          </c:val>
          <c:extLst>
            <c:ext xmlns:c16="http://schemas.microsoft.com/office/drawing/2014/chart" uri="{C3380CC4-5D6E-409C-BE32-E72D297353CC}">
              <c16:uniqueId val="{00000004-69AF-4181-BECA-EF466E7F630E}"/>
            </c:ext>
          </c:extLst>
        </c:ser>
        <c:ser>
          <c:idx val="5"/>
          <c:order val="5"/>
          <c:tx>
            <c:strRef>
              <c:f>'Employee Count by Work Location'!$G$3:$G$4</c:f>
              <c:strCache>
                <c:ptCount val="1"/>
                <c:pt idx="0">
                  <c:v>Seattle, USA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Location'!$G$5:$G$6</c:f>
              <c:numCache>
                <c:formatCode>General</c:formatCode>
                <c:ptCount val="2"/>
                <c:pt idx="0">
                  <c:v>17</c:v>
                </c:pt>
                <c:pt idx="1">
                  <c:v>8</c:v>
                </c:pt>
              </c:numCache>
            </c:numRef>
          </c:val>
          <c:extLst>
            <c:ext xmlns:c16="http://schemas.microsoft.com/office/drawing/2014/chart" uri="{C3380CC4-5D6E-409C-BE32-E72D297353CC}">
              <c16:uniqueId val="{00000005-69AF-4181-BECA-EF466E7F630E}"/>
            </c:ext>
          </c:extLst>
        </c:ser>
        <c:ser>
          <c:idx val="6"/>
          <c:order val="6"/>
          <c:tx>
            <c:strRef>
              <c:f>'Employee Count by Work Location'!$H$3:$H$4</c:f>
              <c:strCache>
                <c:ptCount val="1"/>
                <c:pt idx="0">
                  <c:v>Wellington, New Zealand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Work Location'!$A$5:$A$6</c:f>
              <c:strCache>
                <c:ptCount val="2"/>
                <c:pt idx="0">
                  <c:v>full time</c:v>
                </c:pt>
                <c:pt idx="1">
                  <c:v>part time</c:v>
                </c:pt>
              </c:strCache>
            </c:strRef>
          </c:cat>
          <c:val>
            <c:numRef>
              <c:f>'Employee Count by Work Location'!$H$5:$H$6</c:f>
              <c:numCache>
                <c:formatCode>General</c:formatCode>
                <c:ptCount val="2"/>
                <c:pt idx="0">
                  <c:v>24</c:v>
                </c:pt>
                <c:pt idx="1">
                  <c:v>3</c:v>
                </c:pt>
              </c:numCache>
            </c:numRef>
          </c:val>
          <c:extLst>
            <c:ext xmlns:c16="http://schemas.microsoft.com/office/drawing/2014/chart" uri="{C3380CC4-5D6E-409C-BE32-E72D297353CC}">
              <c16:uniqueId val="{00000006-69AF-4181-BECA-EF466E7F630E}"/>
            </c:ext>
          </c:extLst>
        </c:ser>
        <c:dLbls>
          <c:dLblPos val="outEnd"/>
          <c:showLegendKey val="0"/>
          <c:showVal val="1"/>
          <c:showCatName val="0"/>
          <c:showSerName val="0"/>
          <c:showPercent val="0"/>
          <c:showBubbleSize val="0"/>
        </c:dLbls>
        <c:gapWidth val="219"/>
        <c:overlap val="-27"/>
        <c:axId val="1944964831"/>
        <c:axId val="1944961919"/>
      </c:barChart>
      <c:catAx>
        <c:axId val="194496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61919"/>
        <c:crosses val="autoZero"/>
        <c:auto val="1"/>
        <c:lblAlgn val="ctr"/>
        <c:lblOffset val="100"/>
        <c:noMultiLvlLbl val="0"/>
      </c:catAx>
      <c:valAx>
        <c:axId val="194496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backup.xlsx]Department-wise Employee Count !PivotTable2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Department-wise Employee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dLbl>
          <c:idx val="0"/>
          <c:layout>
            <c:manualLayout>
              <c:x val="-5.5570116579103622E-3"/>
              <c:y val="9.252526959823634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2EB8C1-68CA-4531-964C-FE310FCAD760}" type="VALUE">
                  <a:rPr lang="en-US" sz="6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570116579103622E-3"/>
              <c:y val="9.252526959823634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2EB8C1-68CA-4531-964C-FE310FCAD760}" type="VALUE">
                  <a:rPr lang="en-US" sz="6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5570116579103622E-3"/>
              <c:y val="9.252526959823634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2EB8C1-68CA-4531-964C-FE310FCAD760}" type="VALUE">
                  <a:rPr lang="en-US" sz="6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11848878415"/>
          <c:y val="0.14545029239766083"/>
          <c:w val="0.50073335455827506"/>
          <c:h val="0.74601980015655933"/>
        </c:manualLayout>
      </c:layout>
      <c:barChart>
        <c:barDir val="col"/>
        <c:grouping val="clustered"/>
        <c:varyColors val="0"/>
        <c:ser>
          <c:idx val="0"/>
          <c:order val="0"/>
          <c:tx>
            <c:strRef>
              <c:f>'Department-wise Employee Count '!$B$3:$B$4</c:f>
              <c:strCache>
                <c:ptCount val="1"/>
                <c:pt idx="0">
                  <c:v>Female</c:v>
                </c:pt>
              </c:strCache>
            </c:strRef>
          </c:tx>
          <c:spPr>
            <a:solidFill>
              <a:schemeClr val="accent1"/>
            </a:solidFill>
            <a:ln>
              <a:noFill/>
            </a:ln>
            <a:effectLst/>
          </c:spPr>
          <c:invertIfNegative val="0"/>
          <c:dPt>
            <c:idx val="11"/>
            <c:invertIfNegative val="0"/>
            <c:bubble3D val="0"/>
            <c:spPr>
              <a:solidFill>
                <a:schemeClr val="accent1"/>
              </a:solidFill>
              <a:ln>
                <a:noFill/>
              </a:ln>
              <a:effectLst/>
            </c:spPr>
            <c:extLst>
              <c:ext xmlns:c16="http://schemas.microsoft.com/office/drawing/2014/chart" uri="{C3380CC4-5D6E-409C-BE32-E72D297353CC}">
                <c16:uniqueId val="{00000001-E616-44EA-B301-62408143395B}"/>
              </c:ext>
            </c:extLst>
          </c:dPt>
          <c:dLbls>
            <c:dLbl>
              <c:idx val="11"/>
              <c:layout>
                <c:manualLayout>
                  <c:x val="-5.5570116579103622E-3"/>
                  <c:y val="9.2525269598236343E-3"/>
                </c:manualLayout>
              </c:layout>
              <c:tx>
                <c:rich>
                  <a:bodyPr/>
                  <a:lstStyle/>
                  <a:p>
                    <a:fld id="{872EB8C1-68CA-4531-964C-FE310FCAD760}" type="VALUE">
                      <a:rPr lang="en-US" sz="6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616-44EA-B301-6240814339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'Department-wise Employee Count '!$A$5:$A$17</c:f>
              <c:strCache>
                <c:ptCount val="13"/>
                <c:pt idx="0">
                  <c:v>Accounting</c:v>
                </c:pt>
                <c:pt idx="1">
                  <c:v>Business Development</c:v>
                </c:pt>
                <c:pt idx="2">
                  <c:v>Engineering</c:v>
                </c:pt>
                <c:pt idx="3">
                  <c:v>Human Resources</c:v>
                </c:pt>
                <c:pt idx="4">
                  <c:v>Legal</c:v>
                </c:pt>
                <c:pt idx="5">
                  <c:v>Marketing</c:v>
                </c:pt>
                <c:pt idx="6">
                  <c:v>NULL</c:v>
                </c:pt>
                <c:pt idx="7">
                  <c:v>Product Management</c:v>
                </c:pt>
                <c:pt idx="8">
                  <c:v>Research and Development</c:v>
                </c:pt>
                <c:pt idx="9">
                  <c:v>Sales</c:v>
                </c:pt>
                <c:pt idx="10">
                  <c:v>Services</c:v>
                </c:pt>
                <c:pt idx="11">
                  <c:v>Support</c:v>
                </c:pt>
                <c:pt idx="12">
                  <c:v>Training</c:v>
                </c:pt>
              </c:strCache>
            </c:strRef>
          </c:cat>
          <c:val>
            <c:numRef>
              <c:f>'Department-wise Employee Count '!$B$5:$B$17</c:f>
              <c:numCache>
                <c:formatCode>General</c:formatCode>
                <c:ptCount val="13"/>
                <c:pt idx="0">
                  <c:v>8</c:v>
                </c:pt>
                <c:pt idx="1">
                  <c:v>10</c:v>
                </c:pt>
                <c:pt idx="2">
                  <c:v>5</c:v>
                </c:pt>
                <c:pt idx="3">
                  <c:v>8</c:v>
                </c:pt>
                <c:pt idx="4">
                  <c:v>9</c:v>
                </c:pt>
                <c:pt idx="5">
                  <c:v>5</c:v>
                </c:pt>
                <c:pt idx="6">
                  <c:v>5</c:v>
                </c:pt>
                <c:pt idx="7">
                  <c:v>14</c:v>
                </c:pt>
                <c:pt idx="8">
                  <c:v>12</c:v>
                </c:pt>
                <c:pt idx="9">
                  <c:v>9</c:v>
                </c:pt>
                <c:pt idx="10">
                  <c:v>12</c:v>
                </c:pt>
                <c:pt idx="11">
                  <c:v>8</c:v>
                </c:pt>
                <c:pt idx="12">
                  <c:v>17</c:v>
                </c:pt>
              </c:numCache>
            </c:numRef>
          </c:val>
          <c:extLst>
            <c:ext xmlns:c16="http://schemas.microsoft.com/office/drawing/2014/chart" uri="{C3380CC4-5D6E-409C-BE32-E72D297353CC}">
              <c16:uniqueId val="{00000002-E616-44EA-B301-62408143395B}"/>
            </c:ext>
          </c:extLst>
        </c:ser>
        <c:ser>
          <c:idx val="1"/>
          <c:order val="1"/>
          <c:tx>
            <c:strRef>
              <c:f>'Department-wise Employee Count '!$C$3:$C$4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'Department-wise Employee Count '!$A$5:$A$17</c:f>
              <c:strCache>
                <c:ptCount val="13"/>
                <c:pt idx="0">
                  <c:v>Accounting</c:v>
                </c:pt>
                <c:pt idx="1">
                  <c:v>Business Development</c:v>
                </c:pt>
                <c:pt idx="2">
                  <c:v>Engineering</c:v>
                </c:pt>
                <c:pt idx="3">
                  <c:v>Human Resources</c:v>
                </c:pt>
                <c:pt idx="4">
                  <c:v>Legal</c:v>
                </c:pt>
                <c:pt idx="5">
                  <c:v>Marketing</c:v>
                </c:pt>
                <c:pt idx="6">
                  <c:v>NULL</c:v>
                </c:pt>
                <c:pt idx="7">
                  <c:v>Product Management</c:v>
                </c:pt>
                <c:pt idx="8">
                  <c:v>Research and Development</c:v>
                </c:pt>
                <c:pt idx="9">
                  <c:v>Sales</c:v>
                </c:pt>
                <c:pt idx="10">
                  <c:v>Services</c:v>
                </c:pt>
                <c:pt idx="11">
                  <c:v>Support</c:v>
                </c:pt>
                <c:pt idx="12">
                  <c:v>Training</c:v>
                </c:pt>
              </c:strCache>
            </c:strRef>
          </c:cat>
          <c:val>
            <c:numRef>
              <c:f>'Department-wise Employee Count '!$C$5:$C$17</c:f>
              <c:numCache>
                <c:formatCode>General</c:formatCode>
                <c:ptCount val="13"/>
                <c:pt idx="0">
                  <c:v>16</c:v>
                </c:pt>
                <c:pt idx="1">
                  <c:v>11</c:v>
                </c:pt>
                <c:pt idx="2">
                  <c:v>15</c:v>
                </c:pt>
                <c:pt idx="3">
                  <c:v>13</c:v>
                </c:pt>
                <c:pt idx="4">
                  <c:v>12</c:v>
                </c:pt>
                <c:pt idx="5">
                  <c:v>7</c:v>
                </c:pt>
                <c:pt idx="6">
                  <c:v>4</c:v>
                </c:pt>
                <c:pt idx="7">
                  <c:v>10</c:v>
                </c:pt>
                <c:pt idx="8">
                  <c:v>7</c:v>
                </c:pt>
                <c:pt idx="9">
                  <c:v>7</c:v>
                </c:pt>
                <c:pt idx="10">
                  <c:v>7</c:v>
                </c:pt>
                <c:pt idx="11">
                  <c:v>10</c:v>
                </c:pt>
                <c:pt idx="12">
                  <c:v>4</c:v>
                </c:pt>
              </c:numCache>
            </c:numRef>
          </c:val>
          <c:extLst>
            <c:ext xmlns:c16="http://schemas.microsoft.com/office/drawing/2014/chart" uri="{C3380CC4-5D6E-409C-BE32-E72D297353CC}">
              <c16:uniqueId val="{00000003-E616-44EA-B301-62408143395B}"/>
            </c:ext>
          </c:extLst>
        </c:ser>
        <c:dLbls>
          <c:dLblPos val="outEnd"/>
          <c:showLegendKey val="0"/>
          <c:showVal val="1"/>
          <c:showCatName val="0"/>
          <c:showSerName val="0"/>
          <c:showPercent val="0"/>
          <c:showBubbleSize val="0"/>
        </c:dLbls>
        <c:gapWidth val="84"/>
        <c:axId val="1951370559"/>
        <c:axId val="1951371391"/>
      </c:barChart>
      <c:catAx>
        <c:axId val="1951370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371391"/>
        <c:crosses val="autoZero"/>
        <c:auto val="1"/>
        <c:lblAlgn val="ctr"/>
        <c:lblOffset val="100"/>
        <c:noMultiLvlLbl val="0"/>
      </c:catAx>
      <c:valAx>
        <c:axId val="195137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3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1301075</xdr:colOff>
      <xdr:row>5</xdr:row>
      <xdr:rowOff>100438</xdr:rowOff>
    </xdr:from>
    <xdr:to>
      <xdr:col>10</xdr:col>
      <xdr:colOff>179151</xdr:colOff>
      <xdr:row>22</xdr:row>
      <xdr:rowOff>89566</xdr:rowOff>
    </xdr:to>
    <xdr:graphicFrame macro="">
      <xdr:nvGraphicFramePr>
        <xdr:cNvPr id="2" name="Chart 1">
          <a:extLst>
            <a:ext uri="{FF2B5EF4-FFF2-40B4-BE49-F238E27FC236}">
              <a16:creationId xmlns:a16="http://schemas.microsoft.com/office/drawing/2014/main" id="{CB37EE2E-BB69-4B4B-87D7-07FDB62E6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174372</xdr:colOff>
      <xdr:row>6</xdr:row>
      <xdr:rowOff>51526</xdr:rowOff>
    </xdr:from>
    <xdr:to>
      <xdr:col>15</xdr:col>
      <xdr:colOff>140563</xdr:colOff>
      <xdr:row>25</xdr:row>
      <xdr:rowOff>66583</xdr:rowOff>
    </xdr:to>
    <xdr:graphicFrame macro="">
      <xdr:nvGraphicFramePr>
        <xdr:cNvPr id="2" name="Chart 1">
          <a:extLst>
            <a:ext uri="{FF2B5EF4-FFF2-40B4-BE49-F238E27FC236}">
              <a16:creationId xmlns:a16="http://schemas.microsoft.com/office/drawing/2014/main" id="{D7659B0B-9F3B-459E-8446-1396F1749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487680</xdr:colOff>
      <xdr:row>8</xdr:row>
      <xdr:rowOff>19050</xdr:rowOff>
    </xdr:from>
    <xdr:to>
      <xdr:col>7</xdr:col>
      <xdr:colOff>822960</xdr:colOff>
      <xdr:row>23</xdr:row>
      <xdr:rowOff>19050</xdr:rowOff>
    </xdr:to>
    <xdr:graphicFrame macro="">
      <xdr:nvGraphicFramePr>
        <xdr:cNvPr id="2" name="Chart 1">
          <a:extLst>
            <a:ext uri="{FF2B5EF4-FFF2-40B4-BE49-F238E27FC236}">
              <a16:creationId xmlns:a16="http://schemas.microsoft.com/office/drawing/2014/main" id="{8805E97E-AF24-4D5A-B289-4F2E9C9AD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2</xdr:row>
      <xdr:rowOff>102870</xdr:rowOff>
    </xdr:from>
    <xdr:to>
      <xdr:col>8</xdr:col>
      <xdr:colOff>472440</xdr:colOff>
      <xdr:row>17</xdr:row>
      <xdr:rowOff>102870</xdr:rowOff>
    </xdr:to>
    <xdr:graphicFrame macro="">
      <xdr:nvGraphicFramePr>
        <xdr:cNvPr id="4" name="Chart 3">
          <a:extLst>
            <a:ext uri="{FF2B5EF4-FFF2-40B4-BE49-F238E27FC236}">
              <a16:creationId xmlns:a16="http://schemas.microsoft.com/office/drawing/2014/main" id="{C4168133-FD22-4AE1-8799-C2EC3C34B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486156</xdr:colOff>
      <xdr:row>2</xdr:row>
      <xdr:rowOff>31242</xdr:rowOff>
    </xdr:from>
    <xdr:to>
      <xdr:col>11</xdr:col>
      <xdr:colOff>352044</xdr:colOff>
      <xdr:row>17</xdr:row>
      <xdr:rowOff>31242</xdr:rowOff>
    </xdr:to>
    <xdr:graphicFrame macro="">
      <xdr:nvGraphicFramePr>
        <xdr:cNvPr id="2" name="Chart 1">
          <a:extLst>
            <a:ext uri="{FF2B5EF4-FFF2-40B4-BE49-F238E27FC236}">
              <a16:creationId xmlns:a16="http://schemas.microsoft.com/office/drawing/2014/main" id="{C1EEDAFA-FF67-4908-91D6-D450F93E0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490160</xdr:colOff>
      <xdr:row>4</xdr:row>
      <xdr:rowOff>95250</xdr:rowOff>
    </xdr:from>
    <xdr:to>
      <xdr:col>12</xdr:col>
      <xdr:colOff>35579</xdr:colOff>
      <xdr:row>20</xdr:row>
      <xdr:rowOff>0</xdr:rowOff>
    </xdr:to>
    <xdr:graphicFrame macro="">
      <xdr:nvGraphicFramePr>
        <xdr:cNvPr id="2" name="Chart 1">
          <a:extLst>
            <a:ext uri="{FF2B5EF4-FFF2-40B4-BE49-F238E27FC236}">
              <a16:creationId xmlns:a16="http://schemas.microsoft.com/office/drawing/2014/main" id="{B4DCED61-5E5A-49E1-AD20-82DDAF570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327660</xdr:colOff>
      <xdr:row>6</xdr:row>
      <xdr:rowOff>140970</xdr:rowOff>
    </xdr:from>
    <xdr:to>
      <xdr:col>11</xdr:col>
      <xdr:colOff>22860</xdr:colOff>
      <xdr:row>21</xdr:row>
      <xdr:rowOff>140970</xdr:rowOff>
    </xdr:to>
    <xdr:graphicFrame macro="">
      <xdr:nvGraphicFramePr>
        <xdr:cNvPr id="2" name="Chart 1">
          <a:extLst>
            <a:ext uri="{FF2B5EF4-FFF2-40B4-BE49-F238E27FC236}">
              <a16:creationId xmlns:a16="http://schemas.microsoft.com/office/drawing/2014/main" id="{AF80F9C3-2F24-431C-BF16-ED02CAA98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28</xdr:col>
      <xdr:colOff>316230</xdr:colOff>
      <xdr:row>19</xdr:row>
      <xdr:rowOff>65722</xdr:rowOff>
    </xdr:from>
    <xdr:to>
      <xdr:col>31</xdr:col>
      <xdr:colOff>323374</xdr:colOff>
      <xdr:row>25</xdr:row>
      <xdr:rowOff>23812</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AFF94E8-5BE6-43C2-A3CF-24FA129382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318355" y="3589972"/>
              <a:ext cx="1828800" cy="1029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584441</xdr:colOff>
      <xdr:row>3</xdr:row>
      <xdr:rowOff>157804</xdr:rowOff>
    </xdr:from>
    <xdr:to>
      <xdr:col>27</xdr:col>
      <xdr:colOff>591585</xdr:colOff>
      <xdr:row>17</xdr:row>
      <xdr:rowOff>124466</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8A129E20-2592-40FC-BE8F-F5BB5ED39D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088717" y="827838"/>
              <a:ext cx="1820178" cy="2541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130064</xdr:colOff>
      <xdr:row>19</xdr:row>
      <xdr:rowOff>40908</xdr:rowOff>
    </xdr:from>
    <xdr:to>
      <xdr:col>28</xdr:col>
      <xdr:colOff>137209</xdr:colOff>
      <xdr:row>33</xdr:row>
      <xdr:rowOff>7570</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A95F538A-0707-41FE-94B6-A9B5326A8E5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38685" y="3653839"/>
              <a:ext cx="1820179" cy="2541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153352</xdr:colOff>
      <xdr:row>3</xdr:row>
      <xdr:rowOff>164783</xdr:rowOff>
    </xdr:from>
    <xdr:to>
      <xdr:col>31</xdr:col>
      <xdr:colOff>160496</xdr:colOff>
      <xdr:row>17</xdr:row>
      <xdr:rowOff>131445</xdr:rowOff>
    </xdr:to>
    <mc:AlternateContent xmlns:mc="http://schemas.openxmlformats.org/markup-compatibility/2006" xmlns:a14="http://schemas.microsoft.com/office/drawing/2010/main">
      <mc:Choice Requires="a14">
        <xdr:graphicFrame macro="">
          <xdr:nvGraphicFramePr>
            <xdr:cNvPr id="15" name="Work location">
              <a:extLst>
                <a:ext uri="{FF2B5EF4-FFF2-40B4-BE49-F238E27FC236}">
                  <a16:creationId xmlns:a16="http://schemas.microsoft.com/office/drawing/2014/main" id="{55588E3B-3CCA-4031-88DC-15019A4B8932}"/>
                </a:ext>
              </a:extLst>
            </xdr:cNvPr>
            <xdr:cNvGraphicFramePr/>
          </xdr:nvGraphicFramePr>
          <xdr:xfrm>
            <a:off x="0" y="0"/>
            <a:ext cx="0" cy="0"/>
          </xdr:xfrm>
          <a:graphic>
            <a:graphicData uri="http://schemas.microsoft.com/office/drawing/2010/slicer">
              <sle:slicer xmlns:sle="http://schemas.microsoft.com/office/drawing/2010/slicer" name="Work location"/>
            </a:graphicData>
          </a:graphic>
        </xdr:graphicFrame>
      </mc:Choice>
      <mc:Fallback xmlns="">
        <xdr:sp macro="" textlink="">
          <xdr:nvSpPr>
            <xdr:cNvPr id="0" name=""/>
            <xdr:cNvSpPr>
              <a:spLocks noTextEdit="1"/>
            </xdr:cNvSpPr>
          </xdr:nvSpPr>
          <xdr:spPr>
            <a:xfrm>
              <a:off x="17155477" y="8315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463325</xdr:colOff>
      <xdr:row>25</xdr:row>
      <xdr:rowOff>89649</xdr:rowOff>
    </xdr:from>
    <xdr:to>
      <xdr:col>31</xdr:col>
      <xdr:colOff>470469</xdr:colOff>
      <xdr:row>32</xdr:row>
      <xdr:rowOff>91554</xdr:rowOff>
    </xdr:to>
    <mc:AlternateContent xmlns:mc="http://schemas.openxmlformats.org/markup-compatibility/2006">
      <mc:Choice xmlns:a14="http://schemas.microsoft.com/office/drawing/2010/main" Requires="a14">
        <xdr:graphicFrame macro="">
          <xdr:nvGraphicFramePr>
            <xdr:cNvPr id="16" name="part time or full time">
              <a:extLst>
                <a:ext uri="{FF2B5EF4-FFF2-40B4-BE49-F238E27FC236}">
                  <a16:creationId xmlns:a16="http://schemas.microsoft.com/office/drawing/2014/main" id="{06FC59A1-AEB0-4599-9EBB-4DE86541B6A9}"/>
                </a:ext>
              </a:extLst>
            </xdr:cNvPr>
            <xdr:cNvGraphicFramePr/>
          </xdr:nvGraphicFramePr>
          <xdr:xfrm>
            <a:off x="0" y="0"/>
            <a:ext cx="0" cy="0"/>
          </xdr:xfrm>
          <a:graphic>
            <a:graphicData uri="http://schemas.microsoft.com/office/drawing/2010/slicer">
              <sle:slicer xmlns:sle="http://schemas.microsoft.com/office/drawing/2010/slicer" name="part time or full time"/>
            </a:graphicData>
          </a:graphic>
        </xdr:graphicFrame>
      </mc:Choice>
      <mc:Fallback>
        <xdr:sp macro="" textlink="">
          <xdr:nvSpPr>
            <xdr:cNvPr id="0" name=""/>
            <xdr:cNvSpPr>
              <a:spLocks noTextEdit="1"/>
            </xdr:cNvSpPr>
          </xdr:nvSpPr>
          <xdr:spPr>
            <a:xfrm>
              <a:off x="17384980" y="4806166"/>
              <a:ext cx="1820179" cy="1289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315310</xdr:colOff>
      <xdr:row>3</xdr:row>
      <xdr:rowOff>157656</xdr:rowOff>
    </xdr:from>
    <xdr:to>
      <xdr:col>7</xdr:col>
      <xdr:colOff>420413</xdr:colOff>
      <xdr:row>18</xdr:row>
      <xdr:rowOff>170793</xdr:rowOff>
    </xdr:to>
    <xdr:graphicFrame macro="">
      <xdr:nvGraphicFramePr>
        <xdr:cNvPr id="12" name="Chart 11">
          <a:extLst>
            <a:ext uri="{FF2B5EF4-FFF2-40B4-BE49-F238E27FC236}">
              <a16:creationId xmlns:a16="http://schemas.microsoft.com/office/drawing/2014/main" id="{7D767FCE-DF11-46E9-9014-822E02FCD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499242</xdr:colOff>
      <xdr:row>3</xdr:row>
      <xdr:rowOff>144517</xdr:rowOff>
    </xdr:from>
    <xdr:to>
      <xdr:col>15</xdr:col>
      <xdr:colOff>236484</xdr:colOff>
      <xdr:row>19</xdr:row>
      <xdr:rowOff>65690</xdr:rowOff>
    </xdr:to>
    <xdr:graphicFrame macro="">
      <xdr:nvGraphicFramePr>
        <xdr:cNvPr id="13" name="Chart 12">
          <a:extLst>
            <a:ext uri="{FF2B5EF4-FFF2-40B4-BE49-F238E27FC236}">
              <a16:creationId xmlns:a16="http://schemas.microsoft.com/office/drawing/2014/main" id="{99EC3904-AC5D-4623-B6ED-A0DD98F4B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354725</xdr:colOff>
      <xdr:row>3</xdr:row>
      <xdr:rowOff>157656</xdr:rowOff>
    </xdr:from>
    <xdr:to>
      <xdr:col>20</xdr:col>
      <xdr:colOff>564931</xdr:colOff>
      <xdr:row>19</xdr:row>
      <xdr:rowOff>13138</xdr:rowOff>
    </xdr:to>
    <xdr:graphicFrame macro="">
      <xdr:nvGraphicFramePr>
        <xdr:cNvPr id="17" name="Chart 16">
          <a:extLst>
            <a:ext uri="{FF2B5EF4-FFF2-40B4-BE49-F238E27FC236}">
              <a16:creationId xmlns:a16="http://schemas.microsoft.com/office/drawing/2014/main" id="{83A0F3EA-E5D4-4F4B-88DC-6B16DA545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170793</xdr:colOff>
      <xdr:row>19</xdr:row>
      <xdr:rowOff>105103</xdr:rowOff>
    </xdr:from>
    <xdr:to>
      <xdr:col>8</xdr:col>
      <xdr:colOff>486104</xdr:colOff>
      <xdr:row>33</xdr:row>
      <xdr:rowOff>91965</xdr:rowOff>
    </xdr:to>
    <xdr:graphicFrame macro="">
      <xdr:nvGraphicFramePr>
        <xdr:cNvPr id="18" name="Chart 17">
          <a:extLst>
            <a:ext uri="{FF2B5EF4-FFF2-40B4-BE49-F238E27FC236}">
              <a16:creationId xmlns:a16="http://schemas.microsoft.com/office/drawing/2014/main" id="{42884F37-6722-4B1D-B686-A3B5FD21C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65690</xdr:colOff>
      <xdr:row>19</xdr:row>
      <xdr:rowOff>131380</xdr:rowOff>
    </xdr:from>
    <xdr:to>
      <xdr:col>14</xdr:col>
      <xdr:colOff>564931</xdr:colOff>
      <xdr:row>32</xdr:row>
      <xdr:rowOff>118243</xdr:rowOff>
    </xdr:to>
    <xdr:graphicFrame macro="">
      <xdr:nvGraphicFramePr>
        <xdr:cNvPr id="19" name="Chart 18">
          <a:extLst>
            <a:ext uri="{FF2B5EF4-FFF2-40B4-BE49-F238E27FC236}">
              <a16:creationId xmlns:a16="http://schemas.microsoft.com/office/drawing/2014/main" id="{FD835641-57EF-43C5-8D3A-2B1675607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19</xdr:row>
      <xdr:rowOff>118242</xdr:rowOff>
    </xdr:from>
    <xdr:to>
      <xdr:col>22</xdr:col>
      <xdr:colOff>341586</xdr:colOff>
      <xdr:row>32</xdr:row>
      <xdr:rowOff>52553</xdr:rowOff>
    </xdr:to>
    <xdr:graphicFrame macro="">
      <xdr:nvGraphicFramePr>
        <xdr:cNvPr id="22" name="Chart 21">
          <a:extLst>
            <a:ext uri="{FF2B5EF4-FFF2-40B4-BE49-F238E27FC236}">
              <a16:creationId xmlns:a16="http://schemas.microsoft.com/office/drawing/2014/main" id="{1D36D465-48D3-42B5-866E-B4E107D68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105103</xdr:colOff>
      <xdr:row>33</xdr:row>
      <xdr:rowOff>-1</xdr:rowOff>
    </xdr:from>
    <xdr:to>
      <xdr:col>14</xdr:col>
      <xdr:colOff>578068</xdr:colOff>
      <xdr:row>46</xdr:row>
      <xdr:rowOff>78828</xdr:rowOff>
    </xdr:to>
    <xdr:graphicFrame macro="">
      <xdr:nvGraphicFramePr>
        <xdr:cNvPr id="24" name="Chart 23">
          <a:extLst>
            <a:ext uri="{FF2B5EF4-FFF2-40B4-BE49-F238E27FC236}">
              <a16:creationId xmlns:a16="http://schemas.microsoft.com/office/drawing/2014/main" id="{772F3B37-0B74-40C0-8C96-715D1614B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r" refreshedDate="46305.520425578703" missingItemsLimit="0" createdVersion="7" refreshedVersion="8" minRefreshableVersion="3" recordCount="245" xr:uid="{2424B6EF-3148-40B5-AFE6-0BBD077928D8}">
  <cacheSource type="worksheet">
    <worksheetSource ref="C1:M246" sheet=" Data"/>
  </cacheSource>
  <cacheFields count="11">
    <cacheField name="Emp ID" numFmtId="0">
      <sharedItems/>
    </cacheField>
    <cacheField name="Name" numFmtId="0">
      <sharedItems/>
    </cacheField>
    <cacheField name="Gender" numFmtId="0">
      <sharedItems count="2">
        <s v="Male"/>
        <s v="Female"/>
      </sharedItems>
    </cacheField>
    <cacheField name="Department" numFmtId="0">
      <sharedItems count="13">
        <s v="NULL"/>
        <s v="Business Development"/>
        <s v="Services"/>
        <s v="Training"/>
        <s v="Engineering"/>
        <s v="Support"/>
        <s v="Marketing"/>
        <s v="Research and Development"/>
        <s v="Human Resources"/>
        <s v="Accounting"/>
        <s v="Sales"/>
        <s v="Product Management"/>
        <s v="Legal"/>
      </sharedItems>
    </cacheField>
    <cacheField name="Salary" numFmtId="0">
      <sharedItems containsSemiMixedTypes="0" containsString="0" containsNumber="1" minValue="0" maxValue="119022.49"/>
    </cacheField>
    <cacheField name="Start Date" numFmtId="14">
      <sharedItems containsSemiMixedTypes="0" containsNonDate="0" containsDate="1" containsString="0" minDate="2018-01-29T00:00:00" maxDate="2021-12-03T00:00:00"/>
    </cacheField>
    <cacheField name="month" numFmtId="14">
      <sharedItems count="12">
        <s v="Dec"/>
        <s v="Feb"/>
        <s v="Mar"/>
        <s v="Oct"/>
        <s v="Jun"/>
        <s v="Jan"/>
        <s v="Apr"/>
        <s v="Aug"/>
        <s v="Nov"/>
        <s v="May"/>
        <s v="Sep"/>
        <s v="Jul"/>
      </sharedItems>
    </cacheField>
    <cacheField name="FTE" numFmtId="0">
      <sharedItems containsSemiMixedTypes="0" containsString="0" containsNumber="1" minValue="0.2" maxValue="1"/>
    </cacheField>
    <cacheField name="Employee type" numFmtId="0">
      <sharedItems count="3">
        <s v="Permanent"/>
        <s v="Fixed Term"/>
        <s v="Temporary"/>
      </sharedItems>
    </cacheField>
    <cacheField name="Work location" numFmtId="0">
      <sharedItems count="7">
        <s v="Remote"/>
        <s v="Seattle, USA"/>
        <s v="Hyderabad, India"/>
        <s v="Wellington, New Zealand"/>
        <s v="Columbus, USA"/>
        <s v="Auckland, New Zealand"/>
        <s v="Chennai, India"/>
      </sharedItems>
    </cacheField>
    <cacheField name="part time or full time" numFmtId="0">
      <sharedItems count="2">
        <s v="full time"/>
        <s v="part time"/>
      </sharedItems>
    </cacheField>
  </cacheFields>
  <extLst>
    <ext xmlns:x14="http://schemas.microsoft.com/office/spreadsheetml/2009/9/main" uri="{725AE2AE-9491-48be-B2B4-4EB974FC3084}">
      <x14:pivotCacheDefinition pivotCacheId="1286226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s v="PR00147"/>
    <s v="Minerva Ricardot"/>
    <x v="0"/>
    <x v="0"/>
    <n v="105468.7"/>
    <d v="2018-12-11T00:00:00"/>
    <x v="0"/>
    <n v="1"/>
    <x v="0"/>
    <x v="0"/>
    <x v="0"/>
  </r>
  <r>
    <s v="PR04686"/>
    <s v="Oona Donan"/>
    <x v="1"/>
    <x v="1"/>
    <n v="88360.79"/>
    <d v="2019-02-09T00:00:00"/>
    <x v="1"/>
    <n v="1"/>
    <x v="0"/>
    <x v="1"/>
    <x v="0"/>
  </r>
  <r>
    <s v="SQ04612"/>
    <s v="Mick Spraberry"/>
    <x v="1"/>
    <x v="2"/>
    <n v="85879.23"/>
    <d v="2020-12-03T00:00:00"/>
    <x v="0"/>
    <n v="1"/>
    <x v="0"/>
    <x v="0"/>
    <x v="0"/>
  </r>
  <r>
    <s v="VT01803"/>
    <s v="Freddy Linford"/>
    <x v="1"/>
    <x v="3"/>
    <n v="93128.34"/>
    <d v="2018-03-05T00:00:00"/>
    <x v="2"/>
    <n v="1"/>
    <x v="1"/>
    <x v="1"/>
    <x v="0"/>
  </r>
  <r>
    <s v="TN02749"/>
    <s v="Mackenzie Hannis"/>
    <x v="1"/>
    <x v="3"/>
    <n v="57002.02"/>
    <d v="2018-02-04T00:00:00"/>
    <x v="1"/>
    <n v="0.7"/>
    <x v="0"/>
    <x v="2"/>
    <x v="1"/>
  </r>
  <r>
    <s v="SQ00144"/>
    <s v="Collen Dunbleton"/>
    <x v="0"/>
    <x v="4"/>
    <n v="118976.16"/>
    <d v="2020-10-16T00:00:00"/>
    <x v="3"/>
    <n v="1"/>
    <x v="0"/>
    <x v="3"/>
    <x v="0"/>
  </r>
  <r>
    <s v="PR04601"/>
    <s v="Nananne Gehringer"/>
    <x v="0"/>
    <x v="5"/>
    <n v="104802.63"/>
    <d v="2021-02-11T00:00:00"/>
    <x v="1"/>
    <n v="1"/>
    <x v="0"/>
    <x v="2"/>
    <x v="0"/>
  </r>
  <r>
    <s v="SQ01854"/>
    <s v="Jessica Callcott"/>
    <x v="1"/>
    <x v="6"/>
    <n v="66017.179999999993"/>
    <d v="2019-06-27T00:00:00"/>
    <x v="4"/>
    <n v="0.9"/>
    <x v="0"/>
    <x v="0"/>
    <x v="1"/>
  </r>
  <r>
    <s v="SQ00612"/>
    <s v=" Leena Bruckshaw"/>
    <x v="0"/>
    <x v="7"/>
    <n v="74279.009999999995"/>
    <d v="2019-01-01T00:00:00"/>
    <x v="5"/>
    <n v="1"/>
    <x v="0"/>
    <x v="3"/>
    <x v="0"/>
  </r>
  <r>
    <s v="PR00419"/>
    <s v="Billi Fellgate"/>
    <x v="1"/>
    <x v="1"/>
    <n v="68980.52"/>
    <d v="2019-01-29T00:00:00"/>
    <x v="5"/>
    <n v="0.8"/>
    <x v="0"/>
    <x v="0"/>
    <x v="1"/>
  </r>
  <r>
    <s v="VT00578"/>
    <s v="Magnum Locksley"/>
    <x v="1"/>
    <x v="2"/>
    <n v="42314.39"/>
    <d v="2021-10-18T00:00:00"/>
    <x v="3"/>
    <n v="1"/>
    <x v="1"/>
    <x v="0"/>
    <x v="0"/>
  </r>
  <r>
    <s v="TN01281"/>
    <s v="Cletus McGarahan "/>
    <x v="1"/>
    <x v="4"/>
    <n v="114425.19"/>
    <d v="2020-01-27T00:00:00"/>
    <x v="5"/>
    <n v="1"/>
    <x v="0"/>
    <x v="3"/>
    <x v="0"/>
  </r>
  <r>
    <s v="PR04473"/>
    <s v=" Wyn Treadger"/>
    <x v="1"/>
    <x v="1"/>
    <n v="69192.850000000006"/>
    <d v="2021-04-19T00:00:00"/>
    <x v="6"/>
    <n v="1"/>
    <x v="0"/>
    <x v="4"/>
    <x v="0"/>
  </r>
  <r>
    <s v="VT02417"/>
    <s v="Evangelina Lergan"/>
    <x v="0"/>
    <x v="5"/>
    <n v="61214.26"/>
    <d v="2018-12-03T00:00:00"/>
    <x v="0"/>
    <n v="1"/>
    <x v="2"/>
    <x v="5"/>
    <x v="0"/>
  </r>
  <r>
    <s v="SQ00691"/>
    <s v="Verla Timmis"/>
    <x v="0"/>
    <x v="5"/>
    <n v="54137.05"/>
    <d v="2019-10-25T00:00:00"/>
    <x v="3"/>
    <n v="1"/>
    <x v="0"/>
    <x v="0"/>
    <x v="0"/>
  </r>
  <r>
    <s v="TN00214"/>
    <s v="Jo-anne Gobeau"/>
    <x v="1"/>
    <x v="3"/>
    <n v="37902.35"/>
    <d v="2019-12-24T00:00:00"/>
    <x v="0"/>
    <n v="1"/>
    <x v="0"/>
    <x v="6"/>
    <x v="0"/>
  </r>
  <r>
    <s v="VT02539"/>
    <s v="Devinne Tuny"/>
    <x v="0"/>
    <x v="4"/>
    <n v="39969.72"/>
    <d v="2018-10-12T00:00:00"/>
    <x v="3"/>
    <n v="1"/>
    <x v="2"/>
    <x v="4"/>
    <x v="0"/>
  </r>
  <r>
    <s v="SQ04598"/>
    <s v="Pearla  Beteriss"/>
    <x v="0"/>
    <x v="2"/>
    <n v="69913.39"/>
    <d v="2019-04-29T00:00:00"/>
    <x v="6"/>
    <n v="1"/>
    <x v="0"/>
    <x v="0"/>
    <x v="0"/>
  </r>
  <r>
    <s v="TN00464"/>
    <s v="Maritsa Marusic"/>
    <x v="0"/>
    <x v="7"/>
    <n v="52748.63"/>
    <d v="2020-01-27T00:00:00"/>
    <x v="5"/>
    <n v="1"/>
    <x v="0"/>
    <x v="6"/>
    <x v="0"/>
  </r>
  <r>
    <s v="PR00893"/>
    <s v="Daisie McNeice"/>
    <x v="0"/>
    <x v="8"/>
    <n v="50310.09"/>
    <d v="2021-03-30T00:00:00"/>
    <x v="2"/>
    <n v="0.4"/>
    <x v="0"/>
    <x v="2"/>
    <x v="1"/>
  </r>
  <r>
    <s v="PR00882"/>
    <s v=" Jill Shipsey"/>
    <x v="0"/>
    <x v="9"/>
    <n v="52963.65"/>
    <d v="2021-02-04T00:00:00"/>
    <x v="1"/>
    <n v="0.3"/>
    <x v="0"/>
    <x v="4"/>
    <x v="1"/>
  </r>
  <r>
    <s v="PR03445"/>
    <s v="Myrle Prandoni"/>
    <x v="0"/>
    <x v="10"/>
    <n v="62195.47"/>
    <d v="2021-08-26T00:00:00"/>
    <x v="7"/>
    <n v="1"/>
    <x v="0"/>
    <x v="0"/>
    <x v="0"/>
  </r>
  <r>
    <s v="TN03416"/>
    <s v="Seward Kubera"/>
    <x v="0"/>
    <x v="4"/>
    <n v="43329.22"/>
    <d v="2019-10-12T00:00:00"/>
    <x v="3"/>
    <n v="0.5"/>
    <x v="1"/>
    <x v="0"/>
    <x v="1"/>
  </r>
  <r>
    <s v="TN00890"/>
    <s v="Dean Biggam"/>
    <x v="1"/>
    <x v="3"/>
    <n v="71570.990000000005"/>
    <d v="2021-02-22T00:00:00"/>
    <x v="1"/>
    <n v="0.5"/>
    <x v="0"/>
    <x v="2"/>
    <x v="1"/>
  </r>
  <r>
    <s v="VT04137"/>
    <s v="Marissa Infante"/>
    <x v="1"/>
    <x v="3"/>
    <n v="78840.23"/>
    <d v="2019-06-17T00:00:00"/>
    <x v="4"/>
    <n v="1"/>
    <x v="2"/>
    <x v="0"/>
    <x v="0"/>
  </r>
  <r>
    <s v="PR02603"/>
    <s v="Daisie Dahlman"/>
    <x v="1"/>
    <x v="8"/>
    <n v="61994.76"/>
    <d v="2019-11-25T00:00:00"/>
    <x v="8"/>
    <n v="0.3"/>
    <x v="0"/>
    <x v="2"/>
    <x v="1"/>
  </r>
  <r>
    <s v="PR03158"/>
    <s v="Danica Nayshe"/>
    <x v="1"/>
    <x v="2"/>
    <n v="89690.38"/>
    <d v="2018-04-16T00:00:00"/>
    <x v="6"/>
    <n v="1"/>
    <x v="0"/>
    <x v="3"/>
    <x v="0"/>
  </r>
  <r>
    <s v="PR02288"/>
    <s v="Althea  Bronger"/>
    <x v="0"/>
    <x v="11"/>
    <n v="104335.03999999999"/>
    <d v="2020-02-13T00:00:00"/>
    <x v="1"/>
    <n v="1"/>
    <x v="0"/>
    <x v="4"/>
    <x v="0"/>
  </r>
  <r>
    <s v="VT03849"/>
    <s v="Leonidas Cavaney"/>
    <x v="0"/>
    <x v="9"/>
    <n v="52246.29"/>
    <d v="2019-04-18T00:00:00"/>
    <x v="6"/>
    <n v="1"/>
    <x v="2"/>
    <x v="3"/>
    <x v="0"/>
  </r>
  <r>
    <s v="SQ01395"/>
    <s v="Dennison Crosswaite"/>
    <x v="0"/>
    <x v="12"/>
    <n v="90697.67"/>
    <d v="2021-01-25T00:00:00"/>
    <x v="5"/>
    <n v="0.8"/>
    <x v="0"/>
    <x v="1"/>
    <x v="1"/>
  </r>
  <r>
    <s v="SQ02559"/>
    <s v="Aldrich  Glenny"/>
    <x v="0"/>
    <x v="1"/>
    <n v="90884.32"/>
    <d v="2019-12-27T00:00:00"/>
    <x v="0"/>
    <n v="1"/>
    <x v="0"/>
    <x v="4"/>
    <x v="0"/>
  </r>
  <r>
    <s v="VT04627"/>
    <s v="Yvette  Bett"/>
    <x v="0"/>
    <x v="8"/>
    <n v="76320.44"/>
    <d v="2021-06-07T00:00:00"/>
    <x v="4"/>
    <n v="0.8"/>
    <x v="2"/>
    <x v="0"/>
    <x v="1"/>
  </r>
  <r>
    <s v="VT03537"/>
    <s v="Renaldo Thomassin"/>
    <x v="0"/>
    <x v="1"/>
    <n v="73360.38"/>
    <d v="2020-05-21T00:00:00"/>
    <x v="9"/>
    <n v="1"/>
    <x v="2"/>
    <x v="0"/>
    <x v="0"/>
  </r>
  <r>
    <s v="PR01951"/>
    <s v="Aloise MacCathay "/>
    <x v="0"/>
    <x v="0"/>
    <n v="69913.39"/>
    <d v="2020-08-12T00:00:00"/>
    <x v="7"/>
    <n v="0.7"/>
    <x v="0"/>
    <x v="5"/>
    <x v="1"/>
  </r>
  <r>
    <s v="PR01662"/>
    <s v="Genevra Friday"/>
    <x v="1"/>
    <x v="7"/>
    <n v="50449.46"/>
    <d v="2018-11-14T00:00:00"/>
    <x v="8"/>
    <n v="0.8"/>
    <x v="0"/>
    <x v="5"/>
    <x v="1"/>
  </r>
  <r>
    <s v="VT02313"/>
    <s v="Thekla Lynnett"/>
    <x v="0"/>
    <x v="3"/>
    <n v="53949.26"/>
    <d v="2019-09-12T00:00:00"/>
    <x v="10"/>
    <n v="1"/>
    <x v="2"/>
    <x v="4"/>
    <x v="0"/>
  </r>
  <r>
    <s v="SQ01620"/>
    <s v="Westbrook Brandino"/>
    <x v="0"/>
    <x v="12"/>
    <n v="113616.23"/>
    <d v="2018-04-06T00:00:00"/>
    <x v="6"/>
    <n v="1"/>
    <x v="0"/>
    <x v="0"/>
    <x v="0"/>
  </r>
  <r>
    <s v="VT04681"/>
    <s v="Nickolai  Artin"/>
    <x v="1"/>
    <x v="11"/>
    <n v="110906.35"/>
    <d v="2018-11-30T00:00:00"/>
    <x v="8"/>
    <n v="1"/>
    <x v="2"/>
    <x v="3"/>
    <x v="0"/>
  </r>
  <r>
    <s v="TN04246"/>
    <s v="Shaylyn Ransbury "/>
    <x v="1"/>
    <x v="5"/>
    <n v="100371.31"/>
    <d v="2020-08-24T00:00:00"/>
    <x v="7"/>
    <n v="0.8"/>
    <x v="1"/>
    <x v="5"/>
    <x v="1"/>
  </r>
  <r>
    <s v="TN02570"/>
    <s v="Grady Rochelle"/>
    <x v="1"/>
    <x v="9"/>
    <n v="69163.39"/>
    <d v="2018-10-24T00:00:00"/>
    <x v="3"/>
    <n v="1"/>
    <x v="0"/>
    <x v="0"/>
    <x v="0"/>
  </r>
  <r>
    <s v="VT02801"/>
    <s v="Shellysheldon Mahady"/>
    <x v="0"/>
    <x v="3"/>
    <n v="114691.03"/>
    <d v="2020-07-27T00:00:00"/>
    <x v="11"/>
    <n v="1"/>
    <x v="2"/>
    <x v="3"/>
    <x v="0"/>
  </r>
  <r>
    <s v="SQ01177"/>
    <s v="Riccardo Hagan"/>
    <x v="0"/>
    <x v="8"/>
    <n v="86556.96"/>
    <d v="2020-09-30T00:00:00"/>
    <x v="10"/>
    <n v="1"/>
    <x v="0"/>
    <x v="2"/>
    <x v="0"/>
  </r>
  <r>
    <s v="VT01740"/>
    <s v="Ginger  Myott"/>
    <x v="1"/>
    <x v="2"/>
    <n v="31172.77"/>
    <d v="2019-07-19T00:00:00"/>
    <x v="11"/>
    <n v="1"/>
    <x v="1"/>
    <x v="0"/>
    <x v="0"/>
  </r>
  <r>
    <s v="TN01876"/>
    <s v="Aileen McCritchie"/>
    <x v="0"/>
    <x v="1"/>
    <n v="80169.42"/>
    <d v="2020-10-08T00:00:00"/>
    <x v="3"/>
    <n v="1"/>
    <x v="0"/>
    <x v="5"/>
    <x v="0"/>
  </r>
  <r>
    <s v="VT03988"/>
    <s v="Oby Sorrel"/>
    <x v="1"/>
    <x v="5"/>
    <n v="58935.92"/>
    <d v="2019-09-09T00:00:00"/>
    <x v="10"/>
    <n v="1"/>
    <x v="2"/>
    <x v="2"/>
    <x v="0"/>
  </r>
  <r>
    <s v="TN00227"/>
    <s v="Lincoln Cord"/>
    <x v="1"/>
    <x v="5"/>
    <n v="63555.73"/>
    <d v="2020-11-24T00:00:00"/>
    <x v="8"/>
    <n v="1"/>
    <x v="0"/>
    <x v="6"/>
    <x v="0"/>
  </r>
  <r>
    <s v="VT01092"/>
    <s v="Tabby  Astall"/>
    <x v="0"/>
    <x v="9"/>
    <n v="57419.35"/>
    <d v="2018-07-24T00:00:00"/>
    <x v="11"/>
    <n v="1"/>
    <x v="1"/>
    <x v="5"/>
    <x v="0"/>
  </r>
  <r>
    <s v="TN03169"/>
    <s v="Doe Clubley"/>
    <x v="1"/>
    <x v="11"/>
    <n v="67818.14"/>
    <d v="2018-11-02T00:00:00"/>
    <x v="8"/>
    <n v="0.6"/>
    <x v="1"/>
    <x v="0"/>
    <x v="1"/>
  </r>
  <r>
    <s v="SQ01402"/>
    <s v="Julietta Culross"/>
    <x v="1"/>
    <x v="0"/>
    <n v="44403.77"/>
    <d v="2018-12-11T00:00:00"/>
    <x v="0"/>
    <n v="1"/>
    <x v="0"/>
    <x v="2"/>
    <x v="0"/>
  </r>
  <r>
    <s v="SQ00360"/>
    <s v="Orlando Gorstidge "/>
    <x v="0"/>
    <x v="6"/>
    <n v="40753.54"/>
    <d v="2018-02-21T00:00:00"/>
    <x v="1"/>
    <n v="0.6"/>
    <x v="0"/>
    <x v="3"/>
    <x v="1"/>
  </r>
  <r>
    <s v="PR02208"/>
    <s v="Vernor Atyea"/>
    <x v="1"/>
    <x v="3"/>
    <n v="102934.09"/>
    <d v="2021-04-29T00:00:00"/>
    <x v="6"/>
    <n v="1"/>
    <x v="0"/>
    <x v="2"/>
    <x v="0"/>
  </r>
  <r>
    <s v="SQ01637"/>
    <s v=" Joaquin McVitty"/>
    <x v="0"/>
    <x v="10"/>
    <n v="68860.399999999994"/>
    <d v="2019-12-02T00:00:00"/>
    <x v="0"/>
    <n v="0.4"/>
    <x v="0"/>
    <x v="4"/>
    <x v="1"/>
  </r>
  <r>
    <s v="TN03210"/>
    <s v="Kellsie Waby"/>
    <x v="0"/>
    <x v="3"/>
    <n v="79567.69"/>
    <d v="2018-06-21T00:00:00"/>
    <x v="4"/>
    <n v="1"/>
    <x v="1"/>
    <x v="6"/>
    <x v="0"/>
  </r>
  <r>
    <s v="PR03844"/>
    <s v="Brose MacCorkell"/>
    <x v="1"/>
    <x v="8"/>
    <n v="35943.620000000003"/>
    <d v="2020-04-09T00:00:00"/>
    <x v="6"/>
    <n v="1"/>
    <x v="0"/>
    <x v="4"/>
    <x v="0"/>
  </r>
  <r>
    <s v="VT04093"/>
    <s v="Ewart Hovel"/>
    <x v="1"/>
    <x v="3"/>
    <n v="116767.63"/>
    <d v="2020-04-28T00:00:00"/>
    <x v="6"/>
    <n v="0.4"/>
    <x v="2"/>
    <x v="6"/>
    <x v="1"/>
  </r>
  <r>
    <s v="SQ02246"/>
    <s v="Matias Cormack "/>
    <x v="0"/>
    <x v="7"/>
    <n v="85455.53"/>
    <d v="2020-09-01T00:00:00"/>
    <x v="10"/>
    <n v="1"/>
    <x v="0"/>
    <x v="3"/>
    <x v="0"/>
  </r>
  <r>
    <s v="TN03032"/>
    <s v="Debera Gow "/>
    <x v="1"/>
    <x v="7"/>
    <n v="39700.82"/>
    <d v="2021-07-01T00:00:00"/>
    <x v="11"/>
    <n v="0.8"/>
    <x v="0"/>
    <x v="6"/>
    <x v="1"/>
  </r>
  <r>
    <s v="SQ00914"/>
    <s v="Ansley Gounel"/>
    <x v="1"/>
    <x v="11"/>
    <n v="38438.239999999998"/>
    <d v="2020-05-11T00:00:00"/>
    <x v="9"/>
    <n v="1"/>
    <x v="0"/>
    <x v="6"/>
    <x v="0"/>
  </r>
  <r>
    <s v="SQ02525"/>
    <s v="Mickie Dagwell"/>
    <x v="0"/>
    <x v="4"/>
    <n v="50855.53"/>
    <d v="2021-01-25T00:00:00"/>
    <x v="5"/>
    <n v="1"/>
    <x v="0"/>
    <x v="3"/>
    <x v="0"/>
  </r>
  <r>
    <s v="TN02667"/>
    <s v="Lizzie Mullally"/>
    <x v="0"/>
    <x v="5"/>
    <n v="58935.92"/>
    <d v="2019-09-16T00:00:00"/>
    <x v="10"/>
    <n v="0.2"/>
    <x v="0"/>
    <x v="5"/>
    <x v="1"/>
  </r>
  <r>
    <s v="PR02782"/>
    <s v="Isaak Rawne"/>
    <x v="0"/>
    <x v="6"/>
    <n v="37362.300000000003"/>
    <d v="2019-06-26T00:00:00"/>
    <x v="4"/>
    <n v="1"/>
    <x v="0"/>
    <x v="5"/>
    <x v="0"/>
  </r>
  <r>
    <s v="TN03331"/>
    <s v="Crawford Scad"/>
    <x v="0"/>
    <x v="8"/>
    <n v="72876.91"/>
    <d v="2019-05-27T00:00:00"/>
    <x v="9"/>
    <n v="0.4"/>
    <x v="1"/>
    <x v="5"/>
    <x v="1"/>
  </r>
  <r>
    <s v="VT01249"/>
    <s v="Brendan  Edgeller"/>
    <x v="1"/>
    <x v="12"/>
    <n v="31042.51"/>
    <d v="2021-04-10T00:00:00"/>
    <x v="6"/>
    <n v="0.3"/>
    <x v="1"/>
    <x v="0"/>
    <x v="1"/>
  </r>
  <r>
    <s v="PR00576"/>
    <s v="Lion  Adcock"/>
    <x v="1"/>
    <x v="12"/>
    <n v="63705.4"/>
    <d v="2019-05-08T00:00:00"/>
    <x v="9"/>
    <n v="1"/>
    <x v="0"/>
    <x v="2"/>
    <x v="0"/>
  </r>
  <r>
    <s v="VT02260"/>
    <s v="Rhiamon Mollison"/>
    <x v="1"/>
    <x v="7"/>
    <n v="59434.18"/>
    <d v="2020-10-04T00:00:00"/>
    <x v="3"/>
    <n v="1"/>
    <x v="2"/>
    <x v="1"/>
    <x v="0"/>
  </r>
  <r>
    <s v="TN02883"/>
    <s v="Iain Wiburn"/>
    <x v="1"/>
    <x v="10"/>
    <n v="84762.76"/>
    <d v="2018-08-20T00:00:00"/>
    <x v="7"/>
    <n v="1"/>
    <x v="0"/>
    <x v="2"/>
    <x v="0"/>
  </r>
  <r>
    <s v="SQ03024"/>
    <s v="Inge Creer"/>
    <x v="1"/>
    <x v="2"/>
    <n v="69057.320000000007"/>
    <d v="2018-10-17T00:00:00"/>
    <x v="3"/>
    <n v="1"/>
    <x v="0"/>
    <x v="3"/>
    <x v="0"/>
  </r>
  <r>
    <s v="TN04428"/>
    <s v="Tadio Audritt"/>
    <x v="0"/>
    <x v="8"/>
    <n v="99448.78"/>
    <d v="2019-08-01T00:00:00"/>
    <x v="7"/>
    <n v="1"/>
    <x v="1"/>
    <x v="3"/>
    <x v="0"/>
  </r>
  <r>
    <s v="SQ03350"/>
    <s v="Felice McMurty"/>
    <x v="1"/>
    <x v="11"/>
    <n v="66865.490000000005"/>
    <d v="2019-02-18T00:00:00"/>
    <x v="1"/>
    <n v="1"/>
    <x v="0"/>
    <x v="1"/>
    <x v="0"/>
  </r>
  <r>
    <s v="VT03421"/>
    <s v="Alic Bagg"/>
    <x v="0"/>
    <x v="12"/>
    <n v="113747.56"/>
    <d v="2021-03-15T00:00:00"/>
    <x v="2"/>
    <n v="0.7"/>
    <x v="2"/>
    <x v="4"/>
    <x v="1"/>
  </r>
  <r>
    <s v="PR01346"/>
    <s v="Adolph McNalley"/>
    <x v="0"/>
    <x v="1"/>
    <n v="85918.61"/>
    <d v="2018-05-02T00:00:00"/>
    <x v="9"/>
    <n v="1"/>
    <x v="0"/>
    <x v="4"/>
    <x v="0"/>
  </r>
  <r>
    <s v="VT02118"/>
    <s v="Northrop Reid"/>
    <x v="1"/>
    <x v="0"/>
    <n v="51165.37"/>
    <d v="2021-10-02T00:00:00"/>
    <x v="3"/>
    <n v="1"/>
    <x v="1"/>
    <x v="2"/>
    <x v="0"/>
  </r>
  <r>
    <s v="PR00210"/>
    <s v="Marquita Liquorish"/>
    <x v="1"/>
    <x v="12"/>
    <n v="68980.52"/>
    <d v="2020-06-29T00:00:00"/>
    <x v="4"/>
    <n v="1"/>
    <x v="0"/>
    <x v="3"/>
    <x v="0"/>
  </r>
  <r>
    <s v="TN02496"/>
    <s v="Anjanette Ferre"/>
    <x v="1"/>
    <x v="8"/>
    <n v="67957.899999999994"/>
    <d v="2018-11-26T00:00:00"/>
    <x v="8"/>
    <n v="1"/>
    <x v="0"/>
    <x v="6"/>
    <x v="0"/>
  </r>
  <r>
    <s v="VT02491"/>
    <s v="Alexis Gotfrey"/>
    <x v="0"/>
    <x v="4"/>
    <n v="114465.93"/>
    <d v="2018-10-07T00:00:00"/>
    <x v="3"/>
    <n v="1"/>
    <x v="2"/>
    <x v="3"/>
    <x v="0"/>
  </r>
  <r>
    <s v="PR03980"/>
    <s v=" Kath Bletsoe"/>
    <x v="0"/>
    <x v="6"/>
    <n v="65699.02"/>
    <d v="2020-04-30T00:00:00"/>
    <x v="6"/>
    <n v="1"/>
    <x v="0"/>
    <x v="4"/>
    <x v="0"/>
  </r>
  <r>
    <s v="VT03307"/>
    <s v="Tallie Chaikovski"/>
    <x v="0"/>
    <x v="10"/>
    <n v="83191.95"/>
    <d v="2019-08-23T00:00:00"/>
    <x v="7"/>
    <n v="0.6"/>
    <x v="2"/>
    <x v="0"/>
    <x v="1"/>
  </r>
  <r>
    <s v="TN04058"/>
    <s v="Bari Toffano"/>
    <x v="0"/>
    <x v="11"/>
    <n v="106775.14"/>
    <d v="2019-08-04T00:00:00"/>
    <x v="7"/>
    <n v="1"/>
    <x v="1"/>
    <x v="2"/>
    <x v="0"/>
  </r>
  <r>
    <s v="VT03993"/>
    <s v="Dulce Colbeck"/>
    <x v="0"/>
    <x v="8"/>
    <n v="83396.5"/>
    <d v="2021-03-30T00:00:00"/>
    <x v="2"/>
    <n v="1"/>
    <x v="2"/>
    <x v="5"/>
    <x v="0"/>
  </r>
  <r>
    <s v="VT02663"/>
    <s v="Ignacius Losel"/>
    <x v="0"/>
    <x v="12"/>
    <n v="28481.16"/>
    <d v="2021-01-02T00:00:00"/>
    <x v="5"/>
    <n v="1"/>
    <x v="2"/>
    <x v="6"/>
    <x v="0"/>
  </r>
  <r>
    <s v="PR03034"/>
    <s v="Estell Kingsland"/>
    <x v="0"/>
    <x v="10"/>
    <n v="32192.15"/>
    <d v="2021-04-10T00:00:00"/>
    <x v="6"/>
    <n v="1"/>
    <x v="0"/>
    <x v="2"/>
    <x v="0"/>
  </r>
  <r>
    <s v="PR01159"/>
    <s v="Mollie  Hanway"/>
    <x v="0"/>
    <x v="0"/>
    <n v="112645.99"/>
    <d v="2019-10-21T00:00:00"/>
    <x v="3"/>
    <n v="0.6"/>
    <x v="0"/>
    <x v="1"/>
    <x v="1"/>
  </r>
  <r>
    <s v="SQ03476"/>
    <s v="Inger Andriveaux"/>
    <x v="0"/>
    <x v="9"/>
    <n v="107107.6"/>
    <d v="2018-08-13T00:00:00"/>
    <x v="7"/>
    <n v="0.9"/>
    <x v="0"/>
    <x v="6"/>
    <x v="1"/>
  </r>
  <r>
    <s v="PR04380"/>
    <s v="Van Tuxwell"/>
    <x v="1"/>
    <x v="1"/>
    <n v="80695.740000000005"/>
    <d v="2019-11-18T00:00:00"/>
    <x v="8"/>
    <n v="0.8"/>
    <x v="0"/>
    <x v="4"/>
    <x v="1"/>
  </r>
  <r>
    <s v="TN00182"/>
    <s v="Camilla Castle"/>
    <x v="1"/>
    <x v="11"/>
    <n v="75475.929999999993"/>
    <d v="2019-11-25T00:00:00"/>
    <x v="8"/>
    <n v="1"/>
    <x v="0"/>
    <x v="0"/>
    <x v="0"/>
  </r>
  <r>
    <s v="VT01523"/>
    <s v="Charmane Heistermann"/>
    <x v="1"/>
    <x v="1"/>
    <n v="86558.58"/>
    <d v="2020-02-26T00:00:00"/>
    <x v="1"/>
    <n v="1"/>
    <x v="1"/>
    <x v="0"/>
    <x v="0"/>
  </r>
  <r>
    <s v="PR00916"/>
    <s v="Inger Chapelhow"/>
    <x v="1"/>
    <x v="7"/>
    <n v="84309.95"/>
    <d v="2021-01-11T00:00:00"/>
    <x v="5"/>
    <n v="1"/>
    <x v="0"/>
    <x v="0"/>
    <x v="0"/>
  </r>
  <r>
    <s v="PR01211"/>
    <s v="Enoch Dowrey"/>
    <x v="0"/>
    <x v="9"/>
    <n v="91645.04"/>
    <d v="2021-01-27T00:00:00"/>
    <x v="5"/>
    <n v="1"/>
    <x v="0"/>
    <x v="5"/>
    <x v="0"/>
  </r>
  <r>
    <s v="VT01684"/>
    <s v="Audry Yu"/>
    <x v="1"/>
    <x v="3"/>
    <n v="101187.36"/>
    <d v="2018-07-06T00:00:00"/>
    <x v="11"/>
    <n v="1"/>
    <x v="1"/>
    <x v="4"/>
    <x v="0"/>
  </r>
  <r>
    <s v="TN04740"/>
    <s v="Tristam Cuming"/>
    <x v="1"/>
    <x v="5"/>
    <n v="104038.9"/>
    <d v="2019-12-16T00:00:00"/>
    <x v="0"/>
    <n v="1"/>
    <x v="1"/>
    <x v="0"/>
    <x v="0"/>
  </r>
  <r>
    <s v="TN03575"/>
    <s v="Janina Wolverson"/>
    <x v="1"/>
    <x v="7"/>
    <n v="99683.67"/>
    <d v="2019-04-02T00:00:00"/>
    <x v="6"/>
    <n v="1"/>
    <x v="1"/>
    <x v="1"/>
    <x v="0"/>
  </r>
  <r>
    <s v="VT04984"/>
    <s v="Dell Molloy"/>
    <x v="0"/>
    <x v="4"/>
    <n v="47362.62"/>
    <d v="2020-05-22T00:00:00"/>
    <x v="9"/>
    <n v="1"/>
    <x v="2"/>
    <x v="0"/>
    <x v="0"/>
  </r>
  <r>
    <s v="PR00095"/>
    <s v="Ardella Dyment"/>
    <x v="1"/>
    <x v="1"/>
    <n v="70649.460000000006"/>
    <d v="2020-01-13T00:00:00"/>
    <x v="5"/>
    <n v="1"/>
    <x v="0"/>
    <x v="2"/>
    <x v="0"/>
  </r>
  <r>
    <s v="SQ03546"/>
    <s v="Alexandros Rackley"/>
    <x v="1"/>
    <x v="12"/>
    <n v="75733.740000000005"/>
    <d v="2021-07-05T00:00:00"/>
    <x v="11"/>
    <n v="1"/>
    <x v="0"/>
    <x v="2"/>
    <x v="0"/>
  </r>
  <r>
    <s v="VT02374"/>
    <s v="Delphine Jewis"/>
    <x v="1"/>
    <x v="9"/>
    <n v="71823.56"/>
    <d v="2018-10-01T00:00:00"/>
    <x v="3"/>
    <n v="0.3"/>
    <x v="2"/>
    <x v="0"/>
    <x v="1"/>
  </r>
  <r>
    <s v="SQ00450"/>
    <s v=" Louise Lamming"/>
    <x v="1"/>
    <x v="10"/>
    <n v="41934.71"/>
    <d v="2020-04-22T00:00:00"/>
    <x v="6"/>
    <n v="1"/>
    <x v="0"/>
    <x v="0"/>
    <x v="0"/>
  </r>
  <r>
    <s v="PR03804"/>
    <s v="Vere Kulic"/>
    <x v="0"/>
    <x v="12"/>
    <n v="66572.58"/>
    <d v="2020-12-28T00:00:00"/>
    <x v="0"/>
    <n v="1"/>
    <x v="0"/>
    <x v="6"/>
    <x v="0"/>
  </r>
  <r>
    <s v="SQ04488"/>
    <s v="Yanaton Wooster"/>
    <x v="0"/>
    <x v="6"/>
    <n v="76932.600000000006"/>
    <d v="2019-01-28T00:00:00"/>
    <x v="5"/>
    <n v="1"/>
    <x v="0"/>
    <x v="2"/>
    <x v="0"/>
  </r>
  <r>
    <s v="TN00735"/>
    <s v="Caresa Christer"/>
    <x v="0"/>
    <x v="5"/>
    <n v="59258.19"/>
    <d v="2018-12-18T00:00:00"/>
    <x v="0"/>
    <n v="0.8"/>
    <x v="0"/>
    <x v="1"/>
    <x v="1"/>
  </r>
  <r>
    <s v="VT01893"/>
    <s v="Lindy Guillet"/>
    <x v="0"/>
    <x v="3"/>
    <n v="112778.28"/>
    <d v="2018-05-30T00:00:00"/>
    <x v="9"/>
    <n v="1"/>
    <x v="1"/>
    <x v="0"/>
    <x v="0"/>
  </r>
  <r>
    <s v="SQ02223"/>
    <s v=" Pippy Shepperd"/>
    <x v="1"/>
    <x v="9"/>
    <n v="44845.33"/>
    <d v="2018-06-26T00:00:00"/>
    <x v="4"/>
    <n v="1"/>
    <x v="0"/>
    <x v="1"/>
    <x v="0"/>
  </r>
  <r>
    <s v="PR02010"/>
    <s v="Eilis Pavlasek"/>
    <x v="0"/>
    <x v="11"/>
    <n v="115191.38"/>
    <d v="2020-06-22T00:00:00"/>
    <x v="4"/>
    <n v="1"/>
    <x v="0"/>
    <x v="2"/>
    <x v="0"/>
  </r>
  <r>
    <s v="SQ00498"/>
    <s v="Amery Ofer"/>
    <x v="1"/>
    <x v="12"/>
    <n v="111049.84"/>
    <d v="2021-07-16T00:00:00"/>
    <x v="11"/>
    <n v="1"/>
    <x v="0"/>
    <x v="3"/>
    <x v="0"/>
  </r>
  <r>
    <s v="PR02113"/>
    <s v="Beverie Moffet"/>
    <x v="1"/>
    <x v="5"/>
    <n v="75974.990000000005"/>
    <d v="2020-07-12T00:00:00"/>
    <x v="11"/>
    <n v="1"/>
    <x v="0"/>
    <x v="0"/>
    <x v="0"/>
  </r>
  <r>
    <s v="TN00727"/>
    <s v="Dulsea Folkes"/>
    <x v="1"/>
    <x v="2"/>
    <n v="42161.77"/>
    <d v="2019-01-29T00:00:00"/>
    <x v="5"/>
    <n v="1"/>
    <x v="0"/>
    <x v="5"/>
    <x v="0"/>
  </r>
  <r>
    <s v="SQ01697"/>
    <s v="Frasier Straw"/>
    <x v="0"/>
    <x v="1"/>
    <n v="71371.37"/>
    <d v="2018-10-19T00:00:00"/>
    <x v="3"/>
    <n v="1"/>
    <x v="0"/>
    <x v="2"/>
    <x v="0"/>
  </r>
  <r>
    <s v="SQ01519"/>
    <s v="Caron Kolakovic"/>
    <x v="0"/>
    <x v="9"/>
    <n v="49915.14"/>
    <d v="2019-03-26T00:00:00"/>
    <x v="2"/>
    <n v="1"/>
    <x v="0"/>
    <x v="0"/>
    <x v="0"/>
  </r>
  <r>
    <s v="PR00210"/>
    <s v="Marquita Liquorish"/>
    <x v="1"/>
    <x v="12"/>
    <n v="0"/>
    <d v="2020-06-29T00:00:00"/>
    <x v="4"/>
    <n v="1"/>
    <x v="0"/>
    <x v="3"/>
    <x v="0"/>
  </r>
  <r>
    <s v="VT03500"/>
    <s v="Floyd  Cowgill"/>
    <x v="0"/>
    <x v="5"/>
    <n v="37062.1"/>
    <d v="2021-10-06T00:00:00"/>
    <x v="3"/>
    <n v="1"/>
    <x v="2"/>
    <x v="6"/>
    <x v="0"/>
  </r>
  <r>
    <s v="SQ01962"/>
    <s v="Lezlie Philcott"/>
    <x v="1"/>
    <x v="7"/>
    <n v="0"/>
    <d v="2019-08-02T00:00:00"/>
    <x v="7"/>
    <n v="1"/>
    <x v="0"/>
    <x v="0"/>
    <x v="0"/>
  </r>
  <r>
    <s v="VT00017"/>
    <s v="Maible Azemar"/>
    <x v="0"/>
    <x v="9"/>
    <n v="69913.39"/>
    <d v="2020-03-09T00:00:00"/>
    <x v="2"/>
    <n v="1"/>
    <x v="1"/>
    <x v="4"/>
    <x v="0"/>
  </r>
  <r>
    <s v="TN01210"/>
    <s v="Alyosha Riquet"/>
    <x v="0"/>
    <x v="12"/>
    <n v="89838.77"/>
    <d v="2019-05-17T00:00:00"/>
    <x v="9"/>
    <n v="1"/>
    <x v="0"/>
    <x v="0"/>
    <x v="0"/>
  </r>
  <r>
    <s v="SQ02051"/>
    <s v="Dave Lacoste"/>
    <x v="0"/>
    <x v="12"/>
    <n v="0"/>
    <d v="2021-09-23T00:00:00"/>
    <x v="10"/>
    <n v="1"/>
    <x v="0"/>
    <x v="6"/>
    <x v="0"/>
  </r>
  <r>
    <s v="SQ03321"/>
    <s v="Gradey Litton"/>
    <x v="1"/>
    <x v="9"/>
    <n v="68887.839999999997"/>
    <d v="2018-07-16T00:00:00"/>
    <x v="11"/>
    <n v="1"/>
    <x v="0"/>
    <x v="0"/>
    <x v="0"/>
  </r>
  <r>
    <s v="SQ00841"/>
    <s v="Danica Nayshe"/>
    <x v="1"/>
    <x v="2"/>
    <n v="89690.38"/>
    <d v="2018-04-23T00:00:00"/>
    <x v="6"/>
    <n v="1"/>
    <x v="0"/>
    <x v="2"/>
    <x v="0"/>
  </r>
  <r>
    <s v="SQ04603"/>
    <s v="Natalee Craiker"/>
    <x v="0"/>
    <x v="11"/>
    <n v="111229.47"/>
    <d v="2018-10-29T00:00:00"/>
    <x v="3"/>
    <n v="1"/>
    <x v="0"/>
    <x v="0"/>
    <x v="0"/>
  </r>
  <r>
    <s v="TN01028"/>
    <s v="Alicea Pudsall"/>
    <x v="0"/>
    <x v="9"/>
    <n v="67633.850000000006"/>
    <d v="2018-08-28T00:00:00"/>
    <x v="7"/>
    <n v="1"/>
    <x v="0"/>
    <x v="4"/>
    <x v="0"/>
  </r>
  <r>
    <s v="VT04028"/>
    <s v="Michale Rolf"/>
    <x v="0"/>
    <x v="2"/>
    <n v="111815.49"/>
    <d v="2020-05-03T00:00:00"/>
    <x v="9"/>
    <n v="0.7"/>
    <x v="2"/>
    <x v="0"/>
    <x v="1"/>
  </r>
  <r>
    <s v="TN03068"/>
    <s v="Dare Tully"/>
    <x v="0"/>
    <x v="1"/>
    <n v="39784.239999999998"/>
    <d v="2018-12-31T00:00:00"/>
    <x v="0"/>
    <n v="1"/>
    <x v="1"/>
    <x v="6"/>
    <x v="0"/>
  </r>
  <r>
    <s v="VT03701"/>
    <s v="Richy Gray"/>
    <x v="1"/>
    <x v="11"/>
    <n v="89829.33"/>
    <d v="2019-11-25T00:00:00"/>
    <x v="8"/>
    <n v="1"/>
    <x v="2"/>
    <x v="6"/>
    <x v="0"/>
  </r>
  <r>
    <s v="TN04101"/>
    <s v="Marline Wahncke"/>
    <x v="0"/>
    <x v="12"/>
    <n v="72843.23"/>
    <d v="2018-06-29T00:00:00"/>
    <x v="4"/>
    <n v="1"/>
    <x v="1"/>
    <x v="3"/>
    <x v="0"/>
  </r>
  <r>
    <s v="TN01632"/>
    <s v="Katya Hundy"/>
    <x v="0"/>
    <x v="1"/>
    <n v="88511.17"/>
    <d v="2020-04-29T00:00:00"/>
    <x v="6"/>
    <n v="1"/>
    <x v="0"/>
    <x v="4"/>
    <x v="0"/>
  </r>
  <r>
    <s v="PR01956"/>
    <s v=" Jamesy O'Ferris"/>
    <x v="0"/>
    <x v="9"/>
    <n v="36547.58"/>
    <d v="2018-12-11T00:00:00"/>
    <x v="0"/>
    <n v="1"/>
    <x v="0"/>
    <x v="0"/>
    <x v="0"/>
  </r>
  <r>
    <s v="PR02140"/>
    <s v="Fanchon Furney"/>
    <x v="0"/>
    <x v="9"/>
    <n v="95954.02"/>
    <d v="2019-12-04T00:00:00"/>
    <x v="0"/>
    <n v="0.3"/>
    <x v="0"/>
    <x v="2"/>
    <x v="1"/>
  </r>
  <r>
    <s v="SQ03626"/>
    <s v="Easter Pyke"/>
    <x v="1"/>
    <x v="3"/>
    <n v="95677.9"/>
    <d v="2021-07-19T00:00:00"/>
    <x v="11"/>
    <n v="0.3"/>
    <x v="0"/>
    <x v="6"/>
    <x v="1"/>
  </r>
  <r>
    <s v="VT01610"/>
    <s v="Gilles Jaquet"/>
    <x v="1"/>
    <x v="9"/>
    <n v="76303.820000000007"/>
    <d v="2018-12-24T00:00:00"/>
    <x v="0"/>
    <n v="1"/>
    <x v="1"/>
    <x v="2"/>
    <x v="0"/>
  </r>
  <r>
    <s v="TN00129"/>
    <s v="Grazia Bunkle"/>
    <x v="1"/>
    <x v="7"/>
    <n v="69913.39"/>
    <d v="2019-03-14T00:00:00"/>
    <x v="2"/>
    <n v="1"/>
    <x v="0"/>
    <x v="5"/>
    <x v="0"/>
  </r>
  <r>
    <s v="TN01340"/>
    <s v="Granny Spencelayh"/>
    <x v="0"/>
    <x v="12"/>
    <n v="99460.78"/>
    <d v="2020-05-05T00:00:00"/>
    <x v="9"/>
    <n v="1"/>
    <x v="0"/>
    <x v="0"/>
    <x v="0"/>
  </r>
  <r>
    <s v="TN00698"/>
    <s v="Barbara-anne Kenchington"/>
    <x v="1"/>
    <x v="5"/>
    <n v="88034.67"/>
    <d v="2019-07-23T00:00:00"/>
    <x v="11"/>
    <n v="1"/>
    <x v="0"/>
    <x v="0"/>
    <x v="0"/>
  </r>
  <r>
    <s v="SQ00960"/>
    <s v="Calvin O'Carroll"/>
    <x v="1"/>
    <x v="7"/>
    <n v="44447.26"/>
    <d v="2020-01-16T00:00:00"/>
    <x v="5"/>
    <n v="0.4"/>
    <x v="0"/>
    <x v="1"/>
    <x v="1"/>
  </r>
  <r>
    <s v="SQ01998"/>
    <s v="Layton Crayden"/>
    <x v="0"/>
    <x v="11"/>
    <n v="40445.29"/>
    <d v="2021-07-16T00:00:00"/>
    <x v="11"/>
    <n v="1"/>
    <x v="0"/>
    <x v="6"/>
    <x v="0"/>
  </r>
  <r>
    <s v="PR04446"/>
    <s v="Giffer Berlin"/>
    <x v="1"/>
    <x v="7"/>
    <n v="92336.08"/>
    <d v="2021-08-23T00:00:00"/>
    <x v="7"/>
    <n v="1"/>
    <x v="0"/>
    <x v="2"/>
    <x v="0"/>
  </r>
  <r>
    <s v="SQ01283"/>
    <s v="Barr Faughny"/>
    <x v="1"/>
    <x v="6"/>
    <n v="68008.55"/>
    <d v="2020-08-19T00:00:00"/>
    <x v="7"/>
    <n v="1"/>
    <x v="0"/>
    <x v="5"/>
    <x v="0"/>
  </r>
  <r>
    <s v="SQ01026"/>
    <s v="Faun Rickeard"/>
    <x v="0"/>
    <x v="11"/>
    <n v="74924.649999999994"/>
    <d v="2021-12-02T00:00:00"/>
    <x v="0"/>
    <n v="1"/>
    <x v="0"/>
    <x v="2"/>
    <x v="0"/>
  </r>
  <r>
    <s v="TN02667"/>
    <s v="Lizzie Mullally"/>
    <x v="0"/>
    <x v="5"/>
    <n v="68399.33"/>
    <d v="2019-09-16T00:00:00"/>
    <x v="10"/>
    <n v="0.2"/>
    <x v="0"/>
    <x v="5"/>
    <x v="1"/>
  </r>
  <r>
    <s v="TN01912"/>
    <s v=" Fred Dudeney"/>
    <x v="0"/>
    <x v="2"/>
    <n v="88689.09"/>
    <d v="2019-02-10T00:00:00"/>
    <x v="1"/>
    <n v="1"/>
    <x v="0"/>
    <x v="1"/>
    <x v="0"/>
  </r>
  <r>
    <s v="VT02319"/>
    <s v="Aluin Churly"/>
    <x v="1"/>
    <x v="7"/>
    <n v="96555.53"/>
    <d v="2019-01-24T00:00:00"/>
    <x v="5"/>
    <n v="0.2"/>
    <x v="2"/>
    <x v="2"/>
    <x v="1"/>
  </r>
  <r>
    <s v="SQ04960"/>
    <s v="Gilda Richen"/>
    <x v="1"/>
    <x v="5"/>
    <n v="71924.850000000006"/>
    <d v="2019-12-23T00:00:00"/>
    <x v="0"/>
    <n v="1"/>
    <x v="0"/>
    <x v="6"/>
    <x v="0"/>
  </r>
  <r>
    <s v="SQ01829"/>
    <s v="Mabel Orrow"/>
    <x v="0"/>
    <x v="11"/>
    <n v="31241.24"/>
    <d v="2019-09-17T00:00:00"/>
    <x v="10"/>
    <n v="1"/>
    <x v="0"/>
    <x v="0"/>
    <x v="0"/>
  </r>
  <r>
    <s v="SQ00022"/>
    <s v="Carlin Demke"/>
    <x v="0"/>
    <x v="1"/>
    <n v="110042.37"/>
    <d v="2020-03-24T00:00:00"/>
    <x v="2"/>
    <n v="1"/>
    <x v="0"/>
    <x v="4"/>
    <x v="0"/>
  </r>
  <r>
    <s v="TN02798"/>
    <s v="Thorvald Milliken"/>
    <x v="1"/>
    <x v="1"/>
    <n v="33031.26"/>
    <d v="2019-03-01T00:00:00"/>
    <x v="2"/>
    <n v="0.4"/>
    <x v="0"/>
    <x v="2"/>
    <x v="1"/>
  </r>
  <r>
    <s v="VT02532"/>
    <s v="Adey Ryal"/>
    <x v="1"/>
    <x v="12"/>
    <n v="32496.880000000001"/>
    <d v="2018-05-14T00:00:00"/>
    <x v="9"/>
    <n v="1"/>
    <x v="2"/>
    <x v="0"/>
    <x v="0"/>
  </r>
  <r>
    <s v="PR02321"/>
    <s v="Evanne  Sheryn"/>
    <x v="1"/>
    <x v="2"/>
    <n v="81897.789999999994"/>
    <d v="2018-02-15T00:00:00"/>
    <x v="1"/>
    <n v="1"/>
    <x v="0"/>
    <x v="5"/>
    <x v="0"/>
  </r>
  <r>
    <s v="SQ03116"/>
    <s v="Syd Fearn"/>
    <x v="0"/>
    <x v="4"/>
    <n v="108872.77"/>
    <d v="2019-02-25T00:00:00"/>
    <x v="1"/>
    <n v="1"/>
    <x v="0"/>
    <x v="0"/>
    <x v="0"/>
  </r>
  <r>
    <s v="SQ02638"/>
    <s v="Cara Havers"/>
    <x v="0"/>
    <x v="6"/>
    <n v="89605.13"/>
    <d v="2018-07-06T00:00:00"/>
    <x v="11"/>
    <n v="1"/>
    <x v="0"/>
    <x v="1"/>
    <x v="0"/>
  </r>
  <r>
    <s v="VT03704"/>
    <s v="Egor Minto"/>
    <x v="0"/>
    <x v="12"/>
    <n v="63447.07"/>
    <d v="2020-11-13T00:00:00"/>
    <x v="8"/>
    <n v="1"/>
    <x v="2"/>
    <x v="3"/>
    <x v="0"/>
  </r>
  <r>
    <s v="VT04552"/>
    <s v="Theresita Chasmer"/>
    <x v="1"/>
    <x v="11"/>
    <n v="106665.67"/>
    <d v="2018-07-30T00:00:00"/>
    <x v="11"/>
    <n v="1"/>
    <x v="2"/>
    <x v="4"/>
    <x v="0"/>
  </r>
  <r>
    <s v="SQ04665"/>
    <s v="Collin Jagson"/>
    <x v="0"/>
    <x v="2"/>
    <n v="100424.23"/>
    <d v="2019-02-12T00:00:00"/>
    <x v="1"/>
    <n v="1"/>
    <x v="0"/>
    <x v="5"/>
    <x v="0"/>
  </r>
  <r>
    <s v="VT00336"/>
    <s v="Giselbert Newlands"/>
    <x v="0"/>
    <x v="2"/>
    <n v="47646.95"/>
    <d v="2019-11-22T00:00:00"/>
    <x v="8"/>
    <n v="0.3"/>
    <x v="1"/>
    <x v="6"/>
    <x v="1"/>
  </r>
  <r>
    <s v="TN01256"/>
    <s v="Ignacius Losel"/>
    <x v="0"/>
    <x v="12"/>
    <n v="28481.16"/>
    <d v="2020-03-26T00:00:00"/>
    <x v="2"/>
    <n v="1"/>
    <x v="0"/>
    <x v="2"/>
    <x v="0"/>
  </r>
  <r>
    <s v="SQ01962"/>
    <s v="Lezlie Philcott"/>
    <x v="1"/>
    <x v="7"/>
    <n v="69011.89499999999"/>
    <d v="2019-08-02T00:00:00"/>
    <x v="7"/>
    <n v="1"/>
    <x v="0"/>
    <x v="0"/>
    <x v="0"/>
  </r>
  <r>
    <s v="PR03271"/>
    <s v="Stan  Tolliday"/>
    <x v="1"/>
    <x v="10"/>
    <n v="39535.49"/>
    <d v="2018-10-24T00:00:00"/>
    <x v="3"/>
    <n v="0.3"/>
    <x v="0"/>
    <x v="0"/>
    <x v="1"/>
  </r>
  <r>
    <s v="VT01101"/>
    <s v="Adela Dowsett"/>
    <x v="0"/>
    <x v="5"/>
    <n v="95017.1"/>
    <d v="2018-02-07T00:00:00"/>
    <x v="1"/>
    <n v="1"/>
    <x v="1"/>
    <x v="1"/>
    <x v="0"/>
  </r>
  <r>
    <s v="TN04660"/>
    <s v="Thedrick Bothwell"/>
    <x v="0"/>
    <x v="1"/>
    <n v="69764.100000000006"/>
    <d v="2020-12-30T00:00:00"/>
    <x v="0"/>
    <n v="1"/>
    <x v="1"/>
    <x v="1"/>
    <x v="0"/>
  </r>
  <r>
    <s v="VT00596"/>
    <s v="Letisha Carrett"/>
    <x v="1"/>
    <x v="10"/>
    <n v="84598.88"/>
    <d v="2020-12-10T00:00:00"/>
    <x v="0"/>
    <n v="1"/>
    <x v="1"/>
    <x v="1"/>
    <x v="0"/>
  </r>
  <r>
    <s v="VT03552"/>
    <s v="Karyn Creeghan"/>
    <x v="0"/>
    <x v="4"/>
    <n v="36536.26"/>
    <d v="2021-06-11T00:00:00"/>
    <x v="4"/>
    <n v="1"/>
    <x v="2"/>
    <x v="2"/>
    <x v="0"/>
  </r>
  <r>
    <s v="TN00083"/>
    <s v="Tammi Lackham"/>
    <x v="1"/>
    <x v="1"/>
    <n v="61688.77"/>
    <d v="2018-03-09T00:00:00"/>
    <x v="2"/>
    <n v="0.9"/>
    <x v="0"/>
    <x v="6"/>
    <x v="1"/>
  </r>
  <r>
    <s v="TN01389"/>
    <s v="Shantee  D'Antonio"/>
    <x v="1"/>
    <x v="11"/>
    <n v="68958.86"/>
    <d v="2020-12-21T00:00:00"/>
    <x v="0"/>
    <n v="1"/>
    <x v="0"/>
    <x v="1"/>
    <x v="0"/>
  </r>
  <r>
    <s v="SQ02643"/>
    <s v="Niko MacGille"/>
    <x v="1"/>
    <x v="4"/>
    <n v="88425.08"/>
    <d v="2019-07-16T00:00:00"/>
    <x v="11"/>
    <n v="1"/>
    <x v="0"/>
    <x v="2"/>
    <x v="0"/>
  </r>
  <r>
    <s v="TN02674"/>
    <s v="Antonetta  Coggeshall"/>
    <x v="0"/>
    <x v="10"/>
    <n v="96753.78"/>
    <d v="2021-10-25T00:00:00"/>
    <x v="3"/>
    <n v="1"/>
    <x v="0"/>
    <x v="5"/>
    <x v="0"/>
  </r>
  <r>
    <s v="TN02727"/>
    <s v="Wald Bountiff"/>
    <x v="1"/>
    <x v="5"/>
    <n v="28974.03"/>
    <d v="2019-09-25T00:00:00"/>
    <x v="10"/>
    <n v="1"/>
    <x v="0"/>
    <x v="5"/>
    <x v="0"/>
  </r>
  <r>
    <s v="VT01323"/>
    <s v="Lissy McCoy"/>
    <x v="1"/>
    <x v="1"/>
    <n v="86233.83"/>
    <d v="2019-08-29T00:00:00"/>
    <x v="7"/>
    <n v="1"/>
    <x v="1"/>
    <x v="6"/>
    <x v="0"/>
  </r>
  <r>
    <s v="PR03886"/>
    <s v="Edd  MacKnockiter"/>
    <x v="0"/>
    <x v="9"/>
    <n v="119022.49"/>
    <d v="2021-08-23T00:00:00"/>
    <x v="7"/>
    <n v="1"/>
    <x v="0"/>
    <x v="5"/>
    <x v="0"/>
  </r>
  <r>
    <s v="PR00746"/>
    <s v="Hogan Iles"/>
    <x v="1"/>
    <x v="9"/>
    <n v="114177.23"/>
    <d v="2020-03-18T00:00:00"/>
    <x v="2"/>
    <n v="1"/>
    <x v="0"/>
    <x v="3"/>
    <x v="0"/>
  </r>
  <r>
    <s v="SQ03387"/>
    <s v="Robinia Scholling"/>
    <x v="1"/>
    <x v="8"/>
    <n v="100731.95"/>
    <d v="2020-04-15T00:00:00"/>
    <x v="6"/>
    <n v="1"/>
    <x v="0"/>
    <x v="5"/>
    <x v="0"/>
  </r>
  <r>
    <s v="SQ00105"/>
    <s v="Melisa Knott"/>
    <x v="1"/>
    <x v="3"/>
    <n v="86010.54"/>
    <d v="2018-05-03T00:00:00"/>
    <x v="9"/>
    <n v="1"/>
    <x v="0"/>
    <x v="6"/>
    <x v="0"/>
  </r>
  <r>
    <s v="SQ02424"/>
    <s v="Novelia Pyffe"/>
    <x v="0"/>
    <x v="9"/>
    <n v="52270.22"/>
    <d v="2019-02-25T00:00:00"/>
    <x v="1"/>
    <n v="0.3"/>
    <x v="0"/>
    <x v="6"/>
    <x v="1"/>
  </r>
  <r>
    <s v="VT01703"/>
    <s v="Abigael Basire"/>
    <x v="0"/>
    <x v="4"/>
    <n v="61624.77"/>
    <d v="2018-11-26T00:00:00"/>
    <x v="8"/>
    <n v="0.3"/>
    <x v="1"/>
    <x v="2"/>
    <x v="1"/>
  </r>
  <r>
    <s v="SQ02703"/>
    <s v="North Bertomeu"/>
    <x v="1"/>
    <x v="6"/>
    <n v="104903.79"/>
    <d v="2019-03-07T00:00:00"/>
    <x v="2"/>
    <n v="1"/>
    <x v="0"/>
    <x v="6"/>
    <x v="0"/>
  </r>
  <r>
    <s v="VT04373"/>
    <s v="Edi  Hofton"/>
    <x v="0"/>
    <x v="7"/>
    <n v="28160.79"/>
    <d v="2018-01-29T00:00:00"/>
    <x v="5"/>
    <n v="1"/>
    <x v="2"/>
    <x v="0"/>
    <x v="0"/>
  </r>
  <r>
    <s v="SQ03733"/>
    <s v="Revkah Antonacci"/>
    <x v="0"/>
    <x v="0"/>
    <n v="109143.17"/>
    <d v="2020-04-24T00:00:00"/>
    <x v="6"/>
    <n v="1"/>
    <x v="0"/>
    <x v="3"/>
    <x v="0"/>
  </r>
  <r>
    <s v="VT04467"/>
    <s v="Carolyn Attack "/>
    <x v="1"/>
    <x v="6"/>
    <n v="70755.5"/>
    <d v="2020-09-16T00:00:00"/>
    <x v="10"/>
    <n v="0.8"/>
    <x v="2"/>
    <x v="2"/>
    <x v="1"/>
  </r>
  <r>
    <s v="PR02016"/>
    <s v="Iris  Wagg"/>
    <x v="1"/>
    <x v="0"/>
    <n v="58861.19"/>
    <d v="2019-08-07T00:00:00"/>
    <x v="7"/>
    <n v="1"/>
    <x v="0"/>
    <x v="4"/>
    <x v="0"/>
  </r>
  <r>
    <s v="VT04415"/>
    <s v="Malory Biles"/>
    <x v="1"/>
    <x v="3"/>
    <n v="58744.17"/>
    <d v="2018-12-03T00:00:00"/>
    <x v="0"/>
    <n v="1"/>
    <x v="2"/>
    <x v="4"/>
    <x v="0"/>
  </r>
  <r>
    <s v="TN04067"/>
    <s v="Lea Chaplin"/>
    <x v="1"/>
    <x v="8"/>
    <n v="73488.679999999993"/>
    <d v="2019-04-15T00:00:00"/>
    <x v="6"/>
    <n v="1"/>
    <x v="1"/>
    <x v="1"/>
    <x v="0"/>
  </r>
  <r>
    <s v="TN04175"/>
    <s v="Hinda Label "/>
    <x v="1"/>
    <x v="8"/>
    <n v="92704.48"/>
    <d v="2018-11-26T00:00:00"/>
    <x v="8"/>
    <n v="1"/>
    <x v="1"/>
    <x v="4"/>
    <x v="0"/>
  </r>
  <r>
    <s v="VT00687"/>
    <s v="Adrianne Gave"/>
    <x v="0"/>
    <x v="4"/>
    <n v="78443.78"/>
    <d v="2019-05-14T00:00:00"/>
    <x v="9"/>
    <n v="1"/>
    <x v="1"/>
    <x v="2"/>
    <x v="0"/>
  </r>
  <r>
    <s v="PR01269"/>
    <s v="Eleonore Airdrie"/>
    <x v="1"/>
    <x v="4"/>
    <n v="97105.19"/>
    <d v="2021-08-17T00:00:00"/>
    <x v="7"/>
    <n v="1"/>
    <x v="0"/>
    <x v="4"/>
    <x v="0"/>
  </r>
  <r>
    <s v="TN00579"/>
    <s v="Rafaelita Blaksland "/>
    <x v="1"/>
    <x v="2"/>
    <n v="109163.39"/>
    <d v="2020-07-07T00:00:00"/>
    <x v="11"/>
    <n v="0.8"/>
    <x v="0"/>
    <x v="1"/>
    <x v="1"/>
  </r>
  <r>
    <s v="TN03097"/>
    <s v="Bendite  Bloan"/>
    <x v="0"/>
    <x v="6"/>
    <n v="31816.57"/>
    <d v="2019-01-02T00:00:00"/>
    <x v="5"/>
    <n v="0.3"/>
    <x v="1"/>
    <x v="0"/>
    <x v="1"/>
  </r>
  <r>
    <s v="SQ02174"/>
    <s v="Sidoney Yitzhok"/>
    <x v="1"/>
    <x v="0"/>
    <n v="118442.54"/>
    <d v="2020-12-28T00:00:00"/>
    <x v="0"/>
    <n v="1"/>
    <x v="0"/>
    <x v="5"/>
    <x v="0"/>
  </r>
  <r>
    <s v="PR02957"/>
    <s v="Vaughn Carvill"/>
    <x v="1"/>
    <x v="3"/>
    <n v="84745.93"/>
    <d v="2019-08-30T00:00:00"/>
    <x v="7"/>
    <n v="1"/>
    <x v="0"/>
    <x v="3"/>
    <x v="0"/>
  </r>
  <r>
    <s v="TN01601"/>
    <s v="Melva  Jickells"/>
    <x v="1"/>
    <x v="11"/>
    <n v="68795.48"/>
    <d v="2021-03-22T00:00:00"/>
    <x v="2"/>
    <n v="0.2"/>
    <x v="0"/>
    <x v="0"/>
    <x v="1"/>
  </r>
  <r>
    <s v="SQ01730"/>
    <s v="Austine Littlewood"/>
    <x v="1"/>
    <x v="2"/>
    <n v="32269.91"/>
    <d v="2018-03-09T00:00:00"/>
    <x v="2"/>
    <n v="1"/>
    <x v="0"/>
    <x v="0"/>
    <x v="0"/>
  </r>
  <r>
    <s v="TN03355"/>
    <s v="Ruby Cracie"/>
    <x v="0"/>
    <x v="7"/>
    <n v="78705.929999999993"/>
    <d v="2018-05-11T00:00:00"/>
    <x v="9"/>
    <n v="1"/>
    <x v="1"/>
    <x v="1"/>
    <x v="0"/>
  </r>
  <r>
    <s v="VT01246"/>
    <s v="Zach Polon"/>
    <x v="0"/>
    <x v="6"/>
    <n v="53535.62"/>
    <d v="2020-10-06T00:00:00"/>
    <x v="3"/>
    <n v="0.5"/>
    <x v="1"/>
    <x v="1"/>
    <x v="1"/>
  </r>
  <r>
    <s v="PR02275"/>
    <s v="Louise Lamming"/>
    <x v="1"/>
    <x v="10"/>
    <n v="41934.71"/>
    <d v="2019-11-11T00:00:00"/>
    <x v="8"/>
    <n v="1"/>
    <x v="0"/>
    <x v="0"/>
    <x v="0"/>
  </r>
  <r>
    <s v="TN04166"/>
    <s v="Tadio  Dowdle"/>
    <x v="1"/>
    <x v="11"/>
    <n v="91929.69"/>
    <d v="2020-11-09T00:00:00"/>
    <x v="8"/>
    <n v="1"/>
    <x v="1"/>
    <x v="0"/>
    <x v="0"/>
  </r>
  <r>
    <s v="SQ00070"/>
    <s v="Larissa Ingledow"/>
    <x v="0"/>
    <x v="7"/>
    <n v="62281.24"/>
    <d v="2018-06-21T00:00:00"/>
    <x v="4"/>
    <n v="1"/>
    <x v="0"/>
    <x v="0"/>
    <x v="0"/>
  </r>
  <r>
    <s v="TN01701"/>
    <s v=" Yves Pawlik"/>
    <x v="0"/>
    <x v="9"/>
    <n v="57925.91"/>
    <d v="2019-04-17T00:00:00"/>
    <x v="6"/>
    <n v="0.5"/>
    <x v="0"/>
    <x v="3"/>
    <x v="1"/>
  </r>
  <r>
    <s v="VT03298"/>
    <s v="Nonah Bissell"/>
    <x v="0"/>
    <x v="4"/>
    <n v="82239.53"/>
    <d v="2020-01-16T00:00:00"/>
    <x v="5"/>
    <n v="1"/>
    <x v="2"/>
    <x v="4"/>
    <x v="0"/>
  </r>
  <r>
    <s v="TN04892"/>
    <s v="Luca Wolstenholme"/>
    <x v="0"/>
    <x v="4"/>
    <n v="53184.02"/>
    <d v="2018-03-21T00:00:00"/>
    <x v="2"/>
    <n v="1"/>
    <x v="1"/>
    <x v="0"/>
    <x v="0"/>
  </r>
  <r>
    <s v="PR01055"/>
    <s v="Gavan Puttan"/>
    <x v="0"/>
    <x v="9"/>
    <n v="35936.31"/>
    <d v="2018-05-21T00:00:00"/>
    <x v="9"/>
    <n v="1"/>
    <x v="0"/>
    <x v="6"/>
    <x v="0"/>
  </r>
  <r>
    <s v="SQ04437"/>
    <s v="Hephzibah Summerell"/>
    <x v="1"/>
    <x v="2"/>
    <n v="28305.08"/>
    <d v="2019-10-16T00:00:00"/>
    <x v="3"/>
    <n v="1"/>
    <x v="0"/>
    <x v="0"/>
    <x v="0"/>
  </r>
  <r>
    <s v="PR00770"/>
    <s v="Beryl Burnsyde"/>
    <x v="0"/>
    <x v="12"/>
    <n v="29774.76"/>
    <d v="2020-01-10T00:00:00"/>
    <x v="5"/>
    <n v="1"/>
    <x v="0"/>
    <x v="3"/>
    <x v="0"/>
  </r>
  <r>
    <s v="VT01762"/>
    <s v="Mata Fishley"/>
    <x v="0"/>
    <x v="9"/>
    <n v="102515.81"/>
    <d v="2020-12-03T00:00:00"/>
    <x v="0"/>
    <n v="1"/>
    <x v="1"/>
    <x v="6"/>
    <x v="0"/>
  </r>
  <r>
    <s v="VT04273"/>
    <s v="Brad Gumb"/>
    <x v="0"/>
    <x v="9"/>
    <n v="38825.18"/>
    <d v="2019-08-19T00:00:00"/>
    <x v="7"/>
    <n v="1"/>
    <x v="2"/>
    <x v="0"/>
    <x v="0"/>
  </r>
  <r>
    <s v="SQ00187"/>
    <s v="Karlen McCaffrey"/>
    <x v="1"/>
    <x v="2"/>
    <n v="71229.42"/>
    <d v="2020-01-12T00:00:00"/>
    <x v="5"/>
    <n v="1"/>
    <x v="0"/>
    <x v="2"/>
    <x v="0"/>
  </r>
  <r>
    <s v="PR00113"/>
    <s v="Van Tuxwell"/>
    <x v="1"/>
    <x v="1"/>
    <n v="80695.740000000005"/>
    <d v="2018-09-17T00:00:00"/>
    <x v="10"/>
    <n v="1"/>
    <x v="0"/>
    <x v="4"/>
    <x v="0"/>
  </r>
  <r>
    <s v="PR01383"/>
    <s v="Addi Studdeard"/>
    <x v="1"/>
    <x v="11"/>
    <n v="72502.61"/>
    <d v="2021-08-02T00:00:00"/>
    <x v="7"/>
    <n v="1"/>
    <x v="0"/>
    <x v="3"/>
    <x v="0"/>
  </r>
  <r>
    <s v="TN00258"/>
    <s v="Joyce Leyband"/>
    <x v="1"/>
    <x v="11"/>
    <n v="68197.899999999994"/>
    <d v="2020-10-15T00:00:00"/>
    <x v="3"/>
    <n v="1"/>
    <x v="0"/>
    <x v="5"/>
    <x v="0"/>
  </r>
  <r>
    <s v="VT00839"/>
    <s v="Tulley Chiddy"/>
    <x v="1"/>
    <x v="9"/>
    <n v="75854.365000000005"/>
    <d v="2019-05-02T00:00:00"/>
    <x v="9"/>
    <n v="1"/>
    <x v="1"/>
    <x v="4"/>
    <x v="0"/>
  </r>
  <r>
    <s v="VT00476"/>
    <s v="Adolph  Hartin"/>
    <x v="0"/>
    <x v="11"/>
    <n v="89960.6"/>
    <d v="2019-02-19T00:00:00"/>
    <x v="1"/>
    <n v="1"/>
    <x v="1"/>
    <x v="5"/>
    <x v="0"/>
  </r>
  <r>
    <s v="SQ04934"/>
    <s v="Pedro St. Hill"/>
    <x v="0"/>
    <x v="4"/>
    <n v="75854.365000000005"/>
    <d v="2021-11-01T00:00:00"/>
    <x v="8"/>
    <n v="0.7"/>
    <x v="0"/>
    <x v="1"/>
    <x v="1"/>
  </r>
  <r>
    <s v="TN01566"/>
    <s v="Fonzie O'Shea "/>
    <x v="0"/>
    <x v="11"/>
    <n v="80360.41"/>
    <d v="2020-02-12T00:00:00"/>
    <x v="1"/>
    <n v="1"/>
    <x v="0"/>
    <x v="0"/>
    <x v="0"/>
  </r>
  <r>
    <s v="PR04851"/>
    <s v="Rodina Drinan"/>
    <x v="1"/>
    <x v="10"/>
    <n v="77045.440000000002"/>
    <d v="2019-06-20T00:00:00"/>
    <x v="4"/>
    <n v="1"/>
    <x v="0"/>
    <x v="0"/>
    <x v="0"/>
  </r>
  <r>
    <s v="PR00007"/>
    <s v="Torrance  Collier"/>
    <x v="1"/>
    <x v="3"/>
    <n v="96135.75"/>
    <d v="2020-07-13T00:00:00"/>
    <x v="11"/>
    <n v="0.3"/>
    <x v="0"/>
    <x v="3"/>
    <x v="1"/>
  </r>
  <r>
    <s v="SQ03491"/>
    <s v="Freda Legan"/>
    <x v="1"/>
    <x v="10"/>
    <n v="102129.37"/>
    <d v="2021-07-19T00:00:00"/>
    <x v="11"/>
    <n v="1"/>
    <x v="0"/>
    <x v="4"/>
    <x v="0"/>
  </r>
  <r>
    <s v="SQ02465"/>
    <s v="Bernie Gorges"/>
    <x v="1"/>
    <x v="3"/>
    <n v="99965.97"/>
    <d v="2018-02-02T00:00:00"/>
    <x v="1"/>
    <n v="1"/>
    <x v="0"/>
    <x v="0"/>
    <x v="0"/>
  </r>
  <r>
    <s v="VT00194"/>
    <s v="Violante Courtonne"/>
    <x v="1"/>
    <x v="11"/>
    <n v="49625.64"/>
    <d v="2021-07-07T00:00:00"/>
    <x v="11"/>
    <n v="0.5"/>
    <x v="1"/>
    <x v="0"/>
    <x v="1"/>
  </r>
  <r>
    <s v="TN00328"/>
    <s v="Jeannie Petracco"/>
    <x v="1"/>
    <x v="4"/>
    <n v="94815.28"/>
    <d v="2018-06-12T00:00:00"/>
    <x v="4"/>
    <n v="1"/>
    <x v="0"/>
    <x v="1"/>
    <x v="0"/>
  </r>
  <r>
    <s v="PR03137"/>
    <s v="Nolan  Tortis"/>
    <x v="0"/>
    <x v="5"/>
    <n v="36714.379999999997"/>
    <d v="2020-10-12T00:00:00"/>
    <x v="3"/>
    <n v="1"/>
    <x v="0"/>
    <x v="6"/>
    <x v="0"/>
  </r>
  <r>
    <s v="PR00246"/>
    <s v="Husein Augar"/>
    <x v="1"/>
    <x v="6"/>
    <n v="67905.8"/>
    <d v="2020-12-29T00:00:00"/>
    <x v="0"/>
    <n v="1"/>
    <x v="0"/>
    <x v="0"/>
    <x v="0"/>
  </r>
  <r>
    <s v="SQ02371"/>
    <s v="Alida Welman"/>
    <x v="0"/>
    <x v="8"/>
    <n v="69862.38"/>
    <d v="2018-12-24T00:00:00"/>
    <x v="0"/>
    <n v="1"/>
    <x v="0"/>
    <x v="3"/>
    <x v="0"/>
  </r>
  <r>
    <s v="VT04350"/>
    <s v="Trix Lutsch"/>
    <x v="0"/>
    <x v="1"/>
    <n v="106400.02"/>
    <d v="2020-09-07T00:00:00"/>
    <x v="10"/>
    <n v="1"/>
    <x v="2"/>
    <x v="6"/>
    <x v="0"/>
  </r>
  <r>
    <s v="SQ02035"/>
    <s v="Anni Izzard"/>
    <x v="0"/>
    <x v="8"/>
    <n v="103494.94"/>
    <d v="2018-06-05T00:00:00"/>
    <x v="4"/>
    <n v="1"/>
    <x v="0"/>
    <x v="0"/>
    <x v="0"/>
  </r>
  <r>
    <s v="SQ00286"/>
    <s v="Sile Whorton "/>
    <x v="1"/>
    <x v="12"/>
    <n v="61213.01"/>
    <d v="2021-06-18T00:00:00"/>
    <x v="4"/>
    <n v="1"/>
    <x v="0"/>
    <x v="6"/>
    <x v="0"/>
  </r>
  <r>
    <s v="TN02205"/>
    <s v="Myer McCory"/>
    <x v="0"/>
    <x v="7"/>
    <n v="69709.509999999995"/>
    <d v="2019-01-07T00:00:00"/>
    <x v="5"/>
    <n v="1"/>
    <x v="0"/>
    <x v="2"/>
    <x v="0"/>
  </r>
  <r>
    <s v="VT00740"/>
    <s v="Dayle O'Luney"/>
    <x v="1"/>
    <x v="7"/>
    <n v="46751.7"/>
    <d v="2020-01-13T00:00:00"/>
    <x v="5"/>
    <n v="1"/>
    <x v="1"/>
    <x v="2"/>
    <x v="0"/>
  </r>
  <r>
    <s v="PR01476"/>
    <s v="Joli Jodrelle"/>
    <x v="0"/>
    <x v="2"/>
    <n v="77096.05"/>
    <d v="2018-04-27T00:00:00"/>
    <x v="6"/>
    <n v="1"/>
    <x v="0"/>
    <x v="6"/>
    <x v="0"/>
  </r>
  <r>
    <s v="SQ03112"/>
    <s v="Vlad Strangeway"/>
    <x v="0"/>
    <x v="11"/>
    <n v="77743.149999999994"/>
    <d v="2020-03-30T00:00:00"/>
    <x v="2"/>
    <n v="1"/>
    <x v="0"/>
    <x v="6"/>
    <x v="0"/>
  </r>
  <r>
    <s v="PR01943"/>
    <s v="Erin Androsik"/>
    <x v="0"/>
    <x v="8"/>
    <n v="48525.71"/>
    <d v="2018-06-13T00:00:00"/>
    <x v="4"/>
    <n v="1"/>
    <x v="0"/>
    <x v="2"/>
    <x v="0"/>
  </r>
  <r>
    <s v="TN00243"/>
    <s v="Elbertine Hiscoe"/>
    <x v="1"/>
    <x v="3"/>
    <n v="72107.299999999988"/>
    <d v="2020-07-23T00:00:00"/>
    <x v="11"/>
    <n v="1"/>
    <x v="0"/>
    <x v="5"/>
    <x v="0"/>
  </r>
  <r>
    <s v="VT01996"/>
    <s v="Hali Behnecke"/>
    <x v="0"/>
    <x v="8"/>
    <n v="65569.36"/>
    <d v="2018-12-07T00:00:00"/>
    <x v="0"/>
    <n v="1"/>
    <x v="1"/>
    <x v="5"/>
    <x v="0"/>
  </r>
  <r>
    <s v="SQ04934"/>
    <s v="Pedro St. Hill"/>
    <x v="0"/>
    <x v="4"/>
    <n v="0"/>
    <d v="2021-11-01T00:00:00"/>
    <x v="8"/>
    <n v="0.7"/>
    <x v="0"/>
    <x v="1"/>
    <x v="1"/>
  </r>
  <r>
    <s v="SQ02624"/>
    <s v="Gwenneth Fealey"/>
    <x v="1"/>
    <x v="0"/>
    <n v="114772.32"/>
    <d v="2021-02-24T00:00:00"/>
    <x v="1"/>
    <n v="1"/>
    <x v="0"/>
    <x v="4"/>
    <x v="0"/>
  </r>
  <r>
    <s v="SQ02565"/>
    <s v="Konstantin Timblett"/>
    <x v="1"/>
    <x v="3"/>
    <n v="56253.81"/>
    <d v="2021-08-13T00:00:00"/>
    <x v="7"/>
    <n v="1"/>
    <x v="0"/>
    <x v="5"/>
    <x v="0"/>
  </r>
  <r>
    <s v="SQ02582"/>
    <s v="Grier Kidsley"/>
    <x v="1"/>
    <x v="11"/>
    <n v="51798.25"/>
    <d v="2019-07-19T00:00:00"/>
    <x v="11"/>
    <n v="1"/>
    <x v="0"/>
    <x v="2"/>
    <x v="0"/>
  </r>
  <r>
    <s v="TN02397"/>
    <s v="Mendel  Gentsch"/>
    <x v="0"/>
    <x v="8"/>
    <n v="28329.77"/>
    <d v="2018-10-29T00:00:00"/>
    <x v="3"/>
    <n v="1"/>
    <x v="0"/>
    <x v="1"/>
    <x v="0"/>
  </r>
  <r>
    <s v="TN04265"/>
    <s v=" Rey Chartman"/>
    <x v="1"/>
    <x v="3"/>
    <n v="93964.3"/>
    <d v="2021-09-15T00:00:00"/>
    <x v="10"/>
    <n v="0.4"/>
    <x v="1"/>
    <x v="2"/>
    <x v="1"/>
  </r>
  <r>
    <s v="TN02204"/>
    <s v="Aldrich Glenny"/>
    <x v="0"/>
    <x v="1"/>
    <n v="90884.32"/>
    <d v="2020-07-27T00:00:00"/>
    <x v="11"/>
    <n v="0.5"/>
    <x v="0"/>
    <x v="4"/>
    <x v="1"/>
  </r>
  <r>
    <s v="PR01306"/>
    <s v="Patti Dradey"/>
    <x v="0"/>
    <x v="2"/>
    <n v="84742.86"/>
    <d v="2020-09-24T00:00:00"/>
    <x v="10"/>
    <n v="1"/>
    <x v="0"/>
    <x v="5"/>
    <x v="0"/>
  </r>
  <r>
    <s v="VT03771"/>
    <s v="Marjie Bamford"/>
    <x v="0"/>
    <x v="10"/>
    <n v="80772.92"/>
    <d v="2020-11-02T00:00:00"/>
    <x v="8"/>
    <n v="1"/>
    <x v="2"/>
    <x v="0"/>
    <x v="0"/>
  </r>
  <r>
    <s v="SQ04613"/>
    <s v="Kelly Corkitt"/>
    <x v="1"/>
    <x v="8"/>
    <n v="85264.38"/>
    <d v="2018-04-30T00:00:00"/>
    <x v="6"/>
    <n v="1"/>
    <x v="0"/>
    <x v="6"/>
    <x v="0"/>
  </r>
  <r>
    <s v="SQ04116"/>
    <s v="Claretta MacQuist"/>
    <x v="0"/>
    <x v="8"/>
    <n v="51165.37"/>
    <d v="2019-02-18T00:00:00"/>
    <x v="1"/>
    <n v="1"/>
    <x v="0"/>
    <x v="4"/>
    <x v="0"/>
  </r>
  <r>
    <s v="PR02436"/>
    <s v="Marmaduke Worssam"/>
    <x v="1"/>
    <x v="4"/>
    <n v="78378.2"/>
    <d v="2018-12-31T00:00:00"/>
    <x v="0"/>
    <n v="0.4"/>
    <x v="0"/>
    <x v="0"/>
    <x v="1"/>
  </r>
  <r>
    <s v="VT00534"/>
    <s v="Roselle Wandrach"/>
    <x v="0"/>
    <x v="10"/>
    <n v="91314.75"/>
    <d v="2020-10-04T00:00:00"/>
    <x v="3"/>
    <n v="1"/>
    <x v="1"/>
    <x v="1"/>
    <x v="0"/>
  </r>
  <r>
    <s v="TN01396"/>
    <s v="Koral Gerriet"/>
    <x v="0"/>
    <x v="5"/>
    <n v="30077.45"/>
    <d v="2019-09-01T00:00:00"/>
    <x v="10"/>
    <n v="1"/>
    <x v="0"/>
    <x v="3"/>
    <x v="0"/>
  </r>
  <r>
    <s v="TN02377"/>
    <s v="Anjela Spancock"/>
    <x v="1"/>
    <x v="9"/>
    <n v="98012.63"/>
    <d v="2019-11-11T00:00:00"/>
    <x v="8"/>
    <n v="1"/>
    <x v="0"/>
    <x v="0"/>
    <x v="0"/>
  </r>
  <r>
    <s v="PR03532"/>
    <s v="Crawford Scad"/>
    <x v="0"/>
    <x v="8"/>
    <n v="72876.91"/>
    <d v="2020-07-01T00:00:00"/>
    <x v="11"/>
    <n v="1"/>
    <x v="0"/>
    <x v="0"/>
    <x v="0"/>
  </r>
  <r>
    <s v="TN02988"/>
    <s v="Hobie Stockbridge"/>
    <x v="0"/>
    <x v="4"/>
    <n v="92943.89"/>
    <d v="2021-10-11T00:00:00"/>
    <x v="3"/>
    <n v="1"/>
    <x v="0"/>
    <x v="2"/>
    <x v="0"/>
  </r>
  <r>
    <s v="VT04905"/>
    <s v="Bryant Scamp"/>
    <x v="1"/>
    <x v="8"/>
    <n v="29808.07"/>
    <d v="2018-10-07T00:00:00"/>
    <x v="3"/>
    <n v="0.3"/>
    <x v="2"/>
    <x v="2"/>
    <x v="1"/>
  </r>
  <r>
    <s v="PR04366"/>
    <s v="Carry Loblie"/>
    <x v="1"/>
    <x v="10"/>
    <n v="47551.89"/>
    <d v="2019-03-01T00:00:00"/>
    <x v="2"/>
    <n v="1"/>
    <x v="0"/>
    <x v="5"/>
    <x v="0"/>
  </r>
  <r>
    <s v="TN04775"/>
    <s v="Desi Peniman"/>
    <x v="1"/>
    <x v="12"/>
    <n v="31089.22"/>
    <d v="2019-07-11T00:00:00"/>
    <x v="11"/>
    <n v="1"/>
    <x v="1"/>
    <x v="6"/>
    <x v="0"/>
  </r>
  <r>
    <s v="SQ03625"/>
    <s v=" Fidela Artis"/>
    <x v="1"/>
    <x v="10"/>
    <n v="78020.39"/>
    <d v="2020-09-03T00:00:00"/>
    <x v="10"/>
    <n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575C0-B189-4987-BB69-65D1FF93793C}" name="PivotTable1" cacheId="8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3">
  <location ref="A3:B5" firstHeaderRow="1" firstDataRow="1" firstDataCol="1"/>
  <pivotFields count="11">
    <pivotField showAll="0"/>
    <pivotField showAll="0"/>
    <pivotField axis="axisRow" showAll="0">
      <items count="3">
        <item x="1"/>
        <item x="0"/>
        <item t="default"/>
      </items>
    </pivotField>
    <pivotField showAll="0">
      <items count="14">
        <item x="9"/>
        <item x="1"/>
        <item x="4"/>
        <item x="8"/>
        <item x="12"/>
        <item x="6"/>
        <item x="0"/>
        <item x="11"/>
        <item x="7"/>
        <item x="10"/>
        <item x="2"/>
        <item x="5"/>
        <item x="3"/>
        <item t="default"/>
      </items>
    </pivotField>
    <pivotField dataField="1" showAll="0"/>
    <pivotField numFmtId="14" showAll="0"/>
    <pivotField showAll="0">
      <items count="13">
        <item x="5"/>
        <item x="1"/>
        <item x="2"/>
        <item x="6"/>
        <item x="9"/>
        <item x="4"/>
        <item x="11"/>
        <item x="7"/>
        <item x="10"/>
        <item x="3"/>
        <item x="8"/>
        <item x="0"/>
        <item t="default"/>
      </items>
    </pivotField>
    <pivotField showAll="0"/>
    <pivotField showAll="0"/>
    <pivotField showAll="0">
      <items count="8">
        <item x="5"/>
        <item x="6"/>
        <item x="4"/>
        <item x="2"/>
        <item x="0"/>
        <item x="1"/>
        <item x="3"/>
        <item t="default"/>
      </items>
    </pivotField>
    <pivotField showAll="0">
      <items count="3">
        <item x="0"/>
        <item x="1"/>
        <item t="default"/>
      </items>
    </pivotField>
  </pivotFields>
  <rowFields count="1">
    <field x="2"/>
  </rowFields>
  <rowItems count="2">
    <i>
      <x/>
    </i>
    <i>
      <x v="1"/>
    </i>
  </rowItems>
  <colItems count="1">
    <i/>
  </colItems>
  <dataFields count="1">
    <dataField name="Sum of Salary" fld="4" baseField="0" baseItem="0"/>
  </dataFields>
  <chartFormats count="3">
    <chartFormat chart="0" format="30" series="1">
      <pivotArea type="data" outline="0" fieldPosition="0">
        <references count="1">
          <reference field="4294967294" count="1" selected="0">
            <x v="0"/>
          </reference>
        </references>
      </pivotArea>
    </chartFormat>
    <chartFormat chart="6" format="50" series="1">
      <pivotArea type="data" outline="0" fieldPosition="0">
        <references count="1">
          <reference field="4294967294" count="1" selected="0">
            <x v="0"/>
          </reference>
        </references>
      </pivotArea>
    </chartFormat>
    <chartFormat chart="12"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0711B-C28D-47F2-9654-8A7CDC3D356D}" name="PivotTable2" cacheId="8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3">
  <location ref="A3:C17" firstHeaderRow="1" firstDataRow="2" firstDataCol="1"/>
  <pivotFields count="11">
    <pivotField showAll="0"/>
    <pivotField showAll="0"/>
    <pivotField axis="axisCol" dataField="1" showAll="0">
      <items count="3">
        <item x="1"/>
        <item x="0"/>
        <item t="default"/>
      </items>
    </pivotField>
    <pivotField axis="axisRow" showAll="0">
      <items count="14">
        <item x="9"/>
        <item x="1"/>
        <item x="4"/>
        <item x="8"/>
        <item x="12"/>
        <item x="6"/>
        <item x="0"/>
        <item x="11"/>
        <item x="7"/>
        <item x="10"/>
        <item x="2"/>
        <item x="5"/>
        <item x="3"/>
        <item t="default"/>
      </items>
    </pivotField>
    <pivotField showAll="0"/>
    <pivotField numFmtId="14" showAll="0"/>
    <pivotField showAll="0">
      <items count="13">
        <item x="5"/>
        <item x="1"/>
        <item x="2"/>
        <item x="6"/>
        <item x="9"/>
        <item x="4"/>
        <item x="11"/>
        <item x="7"/>
        <item x="10"/>
        <item x="3"/>
        <item x="8"/>
        <item x="0"/>
        <item t="default"/>
      </items>
    </pivotField>
    <pivotField showAll="0"/>
    <pivotField showAll="0"/>
    <pivotField showAll="0">
      <items count="8">
        <item x="5"/>
        <item x="6"/>
        <item x="4"/>
        <item x="2"/>
        <item x="0"/>
        <item x="1"/>
        <item x="3"/>
        <item t="default"/>
      </items>
    </pivotField>
    <pivotField showAll="0">
      <items count="3">
        <item x="0"/>
        <item x="1"/>
        <item t="default"/>
      </items>
    </pivotField>
  </pivotFields>
  <rowFields count="1">
    <field x="3"/>
  </rowFields>
  <rowItems count="13">
    <i>
      <x/>
    </i>
    <i>
      <x v="1"/>
    </i>
    <i>
      <x v="2"/>
    </i>
    <i>
      <x v="3"/>
    </i>
    <i>
      <x v="4"/>
    </i>
    <i>
      <x v="5"/>
    </i>
    <i>
      <x v="6"/>
    </i>
    <i>
      <x v="7"/>
    </i>
    <i>
      <x v="8"/>
    </i>
    <i>
      <x v="9"/>
    </i>
    <i>
      <x v="10"/>
    </i>
    <i>
      <x v="11"/>
    </i>
    <i>
      <x v="12"/>
    </i>
  </rowItems>
  <colFields count="1">
    <field x="2"/>
  </colFields>
  <colItems count="2">
    <i>
      <x/>
    </i>
    <i>
      <x v="1"/>
    </i>
  </colItems>
  <dataFields count="1">
    <dataField name="Count of Gender" fld="2" subtotal="count" baseField="0" baseItem="0"/>
  </dataFields>
  <chartFormats count="1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1"/>
          </reference>
          <reference field="3" count="1" selected="0">
            <x v="12"/>
          </reference>
        </references>
      </pivotArea>
    </chartFormat>
    <chartFormat chart="0" format="3">
      <pivotArea type="data" outline="0" fieldPosition="0">
        <references count="3">
          <reference field="4294967294" count="1" selected="0">
            <x v="0"/>
          </reference>
          <reference field="2" count="1" selected="0">
            <x v="0"/>
          </reference>
          <reference field="3" count="1" selected="0">
            <x v="11"/>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3">
          <reference field="4294967294" count="1" selected="0">
            <x v="0"/>
          </reference>
          <reference field="2" count="1" selected="0">
            <x v="0"/>
          </reference>
          <reference field="3" count="1" selected="0">
            <x v="11"/>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3">
          <reference field="4294967294" count="1" selected="0">
            <x v="0"/>
          </reference>
          <reference field="2" count="1" selected="0">
            <x v="1"/>
          </reference>
          <reference field="3" count="1" selected="0">
            <x v="12"/>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3">
          <reference field="4294967294" count="1" selected="0">
            <x v="0"/>
          </reference>
          <reference field="2" count="1" selected="0">
            <x v="0"/>
          </reference>
          <reference field="3" count="1" selected="0">
            <x v="11"/>
          </reference>
        </references>
      </pivotArea>
    </chartFormat>
    <chartFormat chart="8" format="10" series="1">
      <pivotArea type="data" outline="0" fieldPosition="0">
        <references count="2">
          <reference field="4294967294" count="1" selected="0">
            <x v="0"/>
          </reference>
          <reference field="2" count="1" selected="0">
            <x v="1"/>
          </reference>
        </references>
      </pivotArea>
    </chartFormat>
    <chartFormat chart="8" format="11" series="1">
      <pivotArea type="data" outline="0" fieldPosition="0">
        <references count="1">
          <reference field="4294967294" count="1" selected="0">
            <x v="0"/>
          </reference>
        </references>
      </pivotArea>
    </chartFormat>
    <chartFormat chart="12" format="8" series="1">
      <pivotArea type="data" outline="0" fieldPosition="0">
        <references count="2">
          <reference field="4294967294" count="1" selected="0">
            <x v="0"/>
          </reference>
          <reference field="2" count="1" selected="0">
            <x v="0"/>
          </reference>
        </references>
      </pivotArea>
    </chartFormat>
    <chartFormat chart="12" format="9">
      <pivotArea type="data" outline="0" fieldPosition="0">
        <references count="3">
          <reference field="4294967294" count="1" selected="0">
            <x v="0"/>
          </reference>
          <reference field="2" count="1" selected="0">
            <x v="0"/>
          </reference>
          <reference field="3" count="1" selected="0">
            <x v="11"/>
          </reference>
        </references>
      </pivotArea>
    </chartFormat>
    <chartFormat chart="12" format="10"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E4FB05-9963-4004-B28B-3F202BF6A2A0}" name="PivotTable3" cacheId="8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A3:H6" firstHeaderRow="1" firstDataRow="2" firstDataCol="1"/>
  <pivotFields count="11">
    <pivotField showAll="0"/>
    <pivotField showAll="0"/>
    <pivotField showAll="0">
      <items count="3">
        <item x="1"/>
        <item x="0"/>
        <item t="default"/>
      </items>
    </pivotField>
    <pivotField dataField="1" showAll="0">
      <items count="14">
        <item x="9"/>
        <item x="1"/>
        <item x="4"/>
        <item x="8"/>
        <item x="12"/>
        <item x="6"/>
        <item x="0"/>
        <item x="11"/>
        <item x="7"/>
        <item x="10"/>
        <item x="2"/>
        <item x="5"/>
        <item x="3"/>
        <item t="default"/>
      </items>
    </pivotField>
    <pivotField showAll="0"/>
    <pivotField numFmtId="14" showAll="0"/>
    <pivotField showAll="0">
      <items count="13">
        <item x="5"/>
        <item x="1"/>
        <item x="2"/>
        <item x="6"/>
        <item x="9"/>
        <item x="4"/>
        <item x="11"/>
        <item x="7"/>
        <item x="10"/>
        <item x="3"/>
        <item x="8"/>
        <item x="0"/>
        <item t="default"/>
      </items>
    </pivotField>
    <pivotField showAll="0"/>
    <pivotField showAll="0"/>
    <pivotField axis="axisCol" showAll="0">
      <items count="8">
        <item x="5"/>
        <item x="6"/>
        <item x="4"/>
        <item x="2"/>
        <item x="0"/>
        <item x="1"/>
        <item x="3"/>
        <item t="default"/>
      </items>
    </pivotField>
    <pivotField axis="axisRow" showAll="0">
      <items count="3">
        <item x="0"/>
        <item x="1"/>
        <item t="default"/>
      </items>
    </pivotField>
  </pivotFields>
  <rowFields count="1">
    <field x="10"/>
  </rowFields>
  <rowItems count="2">
    <i>
      <x/>
    </i>
    <i>
      <x v="1"/>
    </i>
  </rowItems>
  <colFields count="1">
    <field x="9"/>
  </colFields>
  <colItems count="7">
    <i>
      <x/>
    </i>
    <i>
      <x v="1"/>
    </i>
    <i>
      <x v="2"/>
    </i>
    <i>
      <x v="3"/>
    </i>
    <i>
      <x v="4"/>
    </i>
    <i>
      <x v="5"/>
    </i>
    <i>
      <x v="6"/>
    </i>
  </colItems>
  <dataFields count="1">
    <dataField name="Count of Department" fld="3" subtotal="count" baseField="0" baseItem="0"/>
  </dataFields>
  <chartFormats count="2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14" series="1">
      <pivotArea type="data" outline="0" fieldPosition="0">
        <references count="1">
          <reference field="4294967294" count="1" selected="0">
            <x v="0"/>
          </reference>
        </references>
      </pivotArea>
    </chartFormat>
    <chartFormat chart="2" format="29" series="1">
      <pivotArea type="data" outline="0" fieldPosition="0">
        <references count="2">
          <reference field="4294967294" count="1" selected="0">
            <x v="0"/>
          </reference>
          <reference field="9" count="1" selected="0">
            <x v="0"/>
          </reference>
        </references>
      </pivotArea>
    </chartFormat>
    <chartFormat chart="2" format="30" series="1">
      <pivotArea type="data" outline="0" fieldPosition="0">
        <references count="2">
          <reference field="4294967294" count="1" selected="0">
            <x v="0"/>
          </reference>
          <reference field="9" count="1" selected="0">
            <x v="1"/>
          </reference>
        </references>
      </pivotArea>
    </chartFormat>
    <chartFormat chart="2" format="31" series="1">
      <pivotArea type="data" outline="0" fieldPosition="0">
        <references count="2">
          <reference field="4294967294" count="1" selected="0">
            <x v="0"/>
          </reference>
          <reference field="9" count="1" selected="0">
            <x v="2"/>
          </reference>
        </references>
      </pivotArea>
    </chartFormat>
    <chartFormat chart="2" format="32" series="1">
      <pivotArea type="data" outline="0" fieldPosition="0">
        <references count="2">
          <reference field="4294967294" count="1" selected="0">
            <x v="0"/>
          </reference>
          <reference field="9" count="1" selected="0">
            <x v="3"/>
          </reference>
        </references>
      </pivotArea>
    </chartFormat>
    <chartFormat chart="2" format="33" series="1">
      <pivotArea type="data" outline="0" fieldPosition="0">
        <references count="2">
          <reference field="4294967294" count="1" selected="0">
            <x v="0"/>
          </reference>
          <reference field="9" count="1" selected="0">
            <x v="4"/>
          </reference>
        </references>
      </pivotArea>
    </chartFormat>
    <chartFormat chart="2" format="34" series="1">
      <pivotArea type="data" outline="0" fieldPosition="0">
        <references count="2">
          <reference field="4294967294" count="1" selected="0">
            <x v="0"/>
          </reference>
          <reference field="9" count="1" selected="0">
            <x v="5"/>
          </reference>
        </references>
      </pivotArea>
    </chartFormat>
    <chartFormat chart="2" format="35" series="1">
      <pivotArea type="data" outline="0" fieldPosition="0">
        <references count="2">
          <reference field="4294967294" count="1" selected="0">
            <x v="0"/>
          </reference>
          <reference field="9" count="1" selected="0">
            <x v="6"/>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series="1">
      <pivotArea type="data" outline="0" fieldPosition="0">
        <references count="2">
          <reference field="4294967294" count="1" selected="0">
            <x v="0"/>
          </reference>
          <reference field="9" count="1" selected="0">
            <x v="4"/>
          </reference>
        </references>
      </pivotArea>
    </chartFormat>
    <chartFormat chart="7" format="27" series="1">
      <pivotArea type="data" outline="0" fieldPosition="0">
        <references count="2">
          <reference field="4294967294" count="1" selected="0">
            <x v="0"/>
          </reference>
          <reference field="9" count="1" selected="0">
            <x v="5"/>
          </reference>
        </references>
      </pivotArea>
    </chartFormat>
    <chartFormat chart="7" format="28" series="1">
      <pivotArea type="data" outline="0" fieldPosition="0">
        <references count="2">
          <reference field="4294967294" count="1" selected="0">
            <x v="0"/>
          </reference>
          <reference field="9" count="1" selected="0">
            <x v="6"/>
          </reference>
        </references>
      </pivotArea>
    </chartFormat>
    <chartFormat chart="8" format="22" series="1">
      <pivotArea type="data" outline="0" fieldPosition="0">
        <references count="2">
          <reference field="4294967294" count="1" selected="0">
            <x v="0"/>
          </reference>
          <reference field="9" count="1" selected="0">
            <x v="0"/>
          </reference>
        </references>
      </pivotArea>
    </chartFormat>
    <chartFormat chart="8" format="23" series="1">
      <pivotArea type="data" outline="0" fieldPosition="0">
        <references count="2">
          <reference field="4294967294" count="1" selected="0">
            <x v="0"/>
          </reference>
          <reference field="9" count="1" selected="0">
            <x v="1"/>
          </reference>
        </references>
      </pivotArea>
    </chartFormat>
    <chartFormat chart="8" format="24" series="1">
      <pivotArea type="data" outline="0" fieldPosition="0">
        <references count="2">
          <reference field="4294967294" count="1" selected="0">
            <x v="0"/>
          </reference>
          <reference field="9" count="1" selected="0">
            <x v="2"/>
          </reference>
        </references>
      </pivotArea>
    </chartFormat>
    <chartFormat chart="8" format="25" series="1">
      <pivotArea type="data" outline="0" fieldPosition="0">
        <references count="2">
          <reference field="4294967294" count="1" selected="0">
            <x v="0"/>
          </reference>
          <reference field="9" count="1" selected="0">
            <x v="3"/>
          </reference>
        </references>
      </pivotArea>
    </chartFormat>
    <chartFormat chart="8" format="26" series="1">
      <pivotArea type="data" outline="0" fieldPosition="0">
        <references count="2">
          <reference field="4294967294" count="1" selected="0">
            <x v="0"/>
          </reference>
          <reference field="9" count="1" selected="0">
            <x v="4"/>
          </reference>
        </references>
      </pivotArea>
    </chartFormat>
    <chartFormat chart="8" format="27" series="1">
      <pivotArea type="data" outline="0" fieldPosition="0">
        <references count="2">
          <reference field="4294967294" count="1" selected="0">
            <x v="0"/>
          </reference>
          <reference field="9" count="1" selected="0">
            <x v="5"/>
          </reference>
        </references>
      </pivotArea>
    </chartFormat>
    <chartFormat chart="8" format="28"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15072-20D9-4E57-A491-93EB6A01CBB6}" name="PivotTable4" cacheId="8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A3:B6" firstHeaderRow="1" firstDataRow="1" firstDataCol="1"/>
  <pivotFields count="11">
    <pivotField showAll="0"/>
    <pivotField showAll="0"/>
    <pivotField axis="axisRow" showAll="0">
      <items count="3">
        <item x="1"/>
        <item x="0"/>
        <item t="default"/>
      </items>
    </pivotField>
    <pivotField dataField="1" showAll="0">
      <items count="14">
        <item x="9"/>
        <item x="1"/>
        <item x="4"/>
        <item x="8"/>
        <item x="12"/>
        <item x="6"/>
        <item x="0"/>
        <item x="11"/>
        <item x="7"/>
        <item x="10"/>
        <item x="2"/>
        <item x="5"/>
        <item x="3"/>
        <item t="default"/>
      </items>
    </pivotField>
    <pivotField showAll="0"/>
    <pivotField numFmtId="14" showAll="0"/>
    <pivotField showAll="0">
      <items count="13">
        <item x="5"/>
        <item x="1"/>
        <item x="2"/>
        <item x="6"/>
        <item x="9"/>
        <item x="4"/>
        <item x="11"/>
        <item x="7"/>
        <item x="10"/>
        <item x="3"/>
        <item x="8"/>
        <item x="0"/>
        <item t="default"/>
      </items>
    </pivotField>
    <pivotField showAll="0"/>
    <pivotField showAll="0"/>
    <pivotField showAll="0">
      <items count="8">
        <item x="5"/>
        <item x="6"/>
        <item x="4"/>
        <item x="2"/>
        <item x="0"/>
        <item x="1"/>
        <item x="3"/>
        <item t="default"/>
      </items>
    </pivotField>
    <pivotField showAll="0">
      <items count="3">
        <item x="0"/>
        <item x="1"/>
        <item t="default"/>
      </items>
    </pivotField>
  </pivotFields>
  <rowFields count="1">
    <field x="2"/>
  </rowFields>
  <rowItems count="3">
    <i>
      <x/>
    </i>
    <i>
      <x v="1"/>
    </i>
    <i t="grand">
      <x/>
    </i>
  </rowItems>
  <colItems count="1">
    <i/>
  </colItems>
  <dataFields count="1">
    <dataField name="Employee Gender Distribution (%)" fld="3" subtotal="count" showDataAs="percentOfTotal" baseField="2" baseItem="2" numFmtId="10"/>
  </dataFields>
  <chartFormats count="9">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03A77-176F-460E-B66C-B5437BE64113}" name="PivotTable5" cacheId="8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8">
  <location ref="A3:C16" firstHeaderRow="1" firstDataRow="2" firstDataCol="1"/>
  <pivotFields count="11">
    <pivotField dataField="1" showAll="0"/>
    <pivotField showAll="0"/>
    <pivotField axis="axisCol" showAll="0">
      <items count="3">
        <item x="1"/>
        <item x="0"/>
        <item t="default"/>
      </items>
    </pivotField>
    <pivotField showAll="0">
      <items count="14">
        <item x="9"/>
        <item x="1"/>
        <item x="4"/>
        <item x="8"/>
        <item x="12"/>
        <item x="6"/>
        <item x="0"/>
        <item x="11"/>
        <item x="7"/>
        <item x="10"/>
        <item x="2"/>
        <item x="5"/>
        <item x="3"/>
        <item t="default"/>
      </items>
    </pivotField>
    <pivotField showAll="0"/>
    <pivotField numFmtId="14" showAll="0"/>
    <pivotField axis="axisRow" showAll="0">
      <items count="13">
        <item x="5"/>
        <item x="1"/>
        <item x="2"/>
        <item x="6"/>
        <item x="9"/>
        <item x="4"/>
        <item x="11"/>
        <item x="7"/>
        <item x="10"/>
        <item x="3"/>
        <item x="8"/>
        <item x="0"/>
        <item t="default"/>
      </items>
    </pivotField>
    <pivotField showAll="0"/>
    <pivotField showAll="0"/>
    <pivotField showAll="0">
      <items count="8">
        <item x="5"/>
        <item x="6"/>
        <item x="4"/>
        <item x="2"/>
        <item x="0"/>
        <item x="1"/>
        <item x="3"/>
        <item t="default"/>
      </items>
    </pivotField>
    <pivotField showAll="0">
      <items count="3">
        <item x="0"/>
        <item x="1"/>
        <item t="default"/>
      </items>
    </pivotField>
  </pivotFields>
  <rowFields count="1">
    <field x="6"/>
  </rowFields>
  <rowItems count="12">
    <i>
      <x/>
    </i>
    <i>
      <x v="1"/>
    </i>
    <i>
      <x v="2"/>
    </i>
    <i>
      <x v="3"/>
    </i>
    <i>
      <x v="4"/>
    </i>
    <i>
      <x v="5"/>
    </i>
    <i>
      <x v="6"/>
    </i>
    <i>
      <x v="7"/>
    </i>
    <i>
      <x v="8"/>
    </i>
    <i>
      <x v="9"/>
    </i>
    <i>
      <x v="10"/>
    </i>
    <i>
      <x v="11"/>
    </i>
  </rowItems>
  <colFields count="1">
    <field x="2"/>
  </colFields>
  <colItems count="2">
    <i>
      <x/>
    </i>
    <i>
      <x v="1"/>
    </i>
  </colItems>
  <dataFields count="1">
    <dataField name="Count of Emp ID" fld="0" subtotal="count" baseField="0" baseItem="0"/>
  </dataFields>
  <chartFormats count="11">
    <chartFormat chart="0" format="4" series="1">
      <pivotArea type="data" outline="0" fieldPosition="0">
        <references count="1">
          <reference field="2" count="1" selected="0">
            <x v="0"/>
          </reference>
        </references>
      </pivotArea>
    </chartFormat>
    <chartFormat chart="0" format="5" series="1">
      <pivotArea type="data" outline="0" fieldPosition="0">
        <references count="1">
          <reference field="2" count="1" selected="0">
            <x v="1"/>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3">
          <reference field="4294967294" count="1" selected="0">
            <x v="0"/>
          </reference>
          <reference field="2" count="1" selected="0">
            <x v="0"/>
          </reference>
          <reference field="6" count="1" selected="0">
            <x v="11"/>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1">
          <reference field="4294967294" count="1" selected="0">
            <x v="0"/>
          </reference>
        </references>
      </pivotArea>
    </chartFormat>
    <chartFormat chart="7" format="11" series="1">
      <pivotArea type="data" outline="0" fieldPosition="0">
        <references count="2">
          <reference field="4294967294" count="1" selected="0">
            <x v="0"/>
          </reference>
          <reference field="2" count="1" selected="0">
            <x v="0"/>
          </reference>
        </references>
      </pivotArea>
    </chartFormat>
    <chartFormat chart="7" format="12"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93EBD-86E0-433B-A30F-EFFDF5AA20E2}" name="PivotTable6" cacheId="8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6">
  <location ref="A3:C16" firstHeaderRow="1" firstDataRow="2" firstDataCol="1"/>
  <pivotFields count="11">
    <pivotField showAll="0"/>
    <pivotField showAll="0"/>
    <pivotField axis="axisCol" showAll="0">
      <items count="3">
        <item x="1"/>
        <item x="0"/>
        <item t="default"/>
      </items>
    </pivotField>
    <pivotField showAll="0">
      <items count="14">
        <item x="9"/>
        <item x="1"/>
        <item x="4"/>
        <item x="8"/>
        <item x="12"/>
        <item x="6"/>
        <item x="0"/>
        <item x="11"/>
        <item x="7"/>
        <item x="10"/>
        <item x="2"/>
        <item x="5"/>
        <item x="3"/>
        <item t="default"/>
      </items>
    </pivotField>
    <pivotField dataField="1" showAll="0"/>
    <pivotField numFmtId="14" showAll="0"/>
    <pivotField axis="axisRow" showAll="0">
      <items count="13">
        <item x="5"/>
        <item x="1"/>
        <item x="2"/>
        <item x="6"/>
        <item x="9"/>
        <item x="4"/>
        <item x="11"/>
        <item x="7"/>
        <item x="10"/>
        <item x="3"/>
        <item x="8"/>
        <item x="0"/>
        <item t="default"/>
      </items>
    </pivotField>
    <pivotField showAll="0"/>
    <pivotField showAll="0">
      <items count="4">
        <item x="1"/>
        <item x="0"/>
        <item x="2"/>
        <item t="default"/>
      </items>
    </pivotField>
    <pivotField showAll="0">
      <items count="8">
        <item x="5"/>
        <item x="6"/>
        <item x="4"/>
        <item x="2"/>
        <item x="0"/>
        <item x="1"/>
        <item x="3"/>
        <item t="default"/>
      </items>
    </pivotField>
    <pivotField showAll="0">
      <items count="3">
        <item x="0"/>
        <item x="1"/>
        <item t="default"/>
      </items>
    </pivotField>
  </pivotFields>
  <rowFields count="1">
    <field x="6"/>
  </rowFields>
  <rowItems count="12">
    <i>
      <x/>
    </i>
    <i>
      <x v="1"/>
    </i>
    <i>
      <x v="2"/>
    </i>
    <i>
      <x v="3"/>
    </i>
    <i>
      <x v="4"/>
    </i>
    <i>
      <x v="5"/>
    </i>
    <i>
      <x v="6"/>
    </i>
    <i>
      <x v="7"/>
    </i>
    <i>
      <x v="8"/>
    </i>
    <i>
      <x v="9"/>
    </i>
    <i>
      <x v="10"/>
    </i>
    <i>
      <x v="11"/>
    </i>
  </rowItems>
  <colFields count="1">
    <field x="2"/>
  </colFields>
  <colItems count="2">
    <i>
      <x/>
    </i>
    <i>
      <x v="1"/>
    </i>
  </colItems>
  <dataFields count="1">
    <dataField name="Sum of Salary" fld="4" baseField="0" baseItem="0"/>
  </dataFields>
  <chartFormats count="3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1"/>
          </reference>
          <reference field="6" count="1" selected="0">
            <x v="11"/>
          </reference>
        </references>
      </pivotArea>
    </chartFormat>
    <chartFormat chart="0" format="3">
      <pivotArea type="data" outline="0" fieldPosition="0">
        <references count="3">
          <reference field="4294967294" count="1" selected="0">
            <x v="0"/>
          </reference>
          <reference field="2" count="1" selected="0">
            <x v="0"/>
          </reference>
          <reference field="6" count="1" selected="0">
            <x v="11"/>
          </reference>
        </references>
      </pivotArea>
    </chartFormat>
    <chartFormat chart="0" format="4">
      <pivotArea type="data" outline="0" fieldPosition="0">
        <references count="3">
          <reference field="4294967294" count="1" selected="0">
            <x v="0"/>
          </reference>
          <reference field="2" count="1" selected="0">
            <x v="1"/>
          </reference>
          <reference field="6" count="1" selected="0">
            <x v="10"/>
          </reference>
        </references>
      </pivotArea>
    </chartFormat>
    <chartFormat chart="0" format="5">
      <pivotArea type="data" outline="0" fieldPosition="0">
        <references count="3">
          <reference field="4294967294" count="1" selected="0">
            <x v="0"/>
          </reference>
          <reference field="2" count="1" selected="0">
            <x v="0"/>
          </reference>
          <reference field="6" count="1" selected="0">
            <x v="10"/>
          </reference>
        </references>
      </pivotArea>
    </chartFormat>
    <chartFormat chart="0" format="6">
      <pivotArea type="data" outline="0" fieldPosition="0">
        <references count="3">
          <reference field="4294967294" count="1" selected="0">
            <x v="0"/>
          </reference>
          <reference field="2" count="1" selected="0">
            <x v="0"/>
          </reference>
          <reference field="6" count="1" selected="0">
            <x v="9"/>
          </reference>
        </references>
      </pivotArea>
    </chartFormat>
    <chartFormat chart="0" format="7">
      <pivotArea type="data" outline="0" fieldPosition="0">
        <references count="3">
          <reference field="4294967294" count="1" selected="0">
            <x v="0"/>
          </reference>
          <reference field="2" count="1" selected="0">
            <x v="0"/>
          </reference>
          <reference field="6" count="1" selected="0">
            <x v="8"/>
          </reference>
        </references>
      </pivotArea>
    </chartFormat>
    <chartFormat chart="0" format="8">
      <pivotArea type="data" outline="0" fieldPosition="0">
        <references count="3">
          <reference field="4294967294" count="1" selected="0">
            <x v="0"/>
          </reference>
          <reference field="2" count="1" selected="0">
            <x v="1"/>
          </reference>
          <reference field="6" count="1" selected="0">
            <x v="7"/>
          </reference>
        </references>
      </pivotArea>
    </chartFormat>
    <chartFormat chart="0" format="9">
      <pivotArea type="data" outline="0" fieldPosition="0">
        <references count="3">
          <reference field="4294967294" count="1" selected="0">
            <x v="0"/>
          </reference>
          <reference field="2" count="1" selected="0">
            <x v="1"/>
          </reference>
          <reference field="6" count="1" selected="0">
            <x v="2"/>
          </reference>
        </references>
      </pivotArea>
    </chartFormat>
    <chartFormat chart="0" format="10">
      <pivotArea type="data" outline="0" fieldPosition="0">
        <references count="3">
          <reference field="4294967294" count="1" selected="0">
            <x v="0"/>
          </reference>
          <reference field="2" count="1" selected="0">
            <x v="0"/>
          </reference>
          <reference field="6" count="1" selected="0">
            <x v="2"/>
          </reference>
        </references>
      </pivotArea>
    </chartFormat>
    <chartFormat chart="2" format="21" series="1">
      <pivotArea type="data" outline="0" fieldPosition="0">
        <references count="2">
          <reference field="4294967294" count="1" selected="0">
            <x v="0"/>
          </reference>
          <reference field="2" count="1" selected="0">
            <x v="0"/>
          </reference>
        </references>
      </pivotArea>
    </chartFormat>
    <chartFormat chart="2" format="22">
      <pivotArea type="data" outline="0" fieldPosition="0">
        <references count="3">
          <reference field="4294967294" count="1" selected="0">
            <x v="0"/>
          </reference>
          <reference field="2" count="1" selected="0">
            <x v="0"/>
          </reference>
          <reference field="6" count="1" selected="0">
            <x v="2"/>
          </reference>
        </references>
      </pivotArea>
    </chartFormat>
    <chartFormat chart="2" format="23">
      <pivotArea type="data" outline="0" fieldPosition="0">
        <references count="3">
          <reference field="4294967294" count="1" selected="0">
            <x v="0"/>
          </reference>
          <reference field="2" count="1" selected="0">
            <x v="0"/>
          </reference>
          <reference field="6" count="1" selected="0">
            <x v="8"/>
          </reference>
        </references>
      </pivotArea>
    </chartFormat>
    <chartFormat chart="2" format="24">
      <pivotArea type="data" outline="0" fieldPosition="0">
        <references count="3">
          <reference field="4294967294" count="1" selected="0">
            <x v="0"/>
          </reference>
          <reference field="2" count="1" selected="0">
            <x v="0"/>
          </reference>
          <reference field="6" count="1" selected="0">
            <x v="9"/>
          </reference>
        </references>
      </pivotArea>
    </chartFormat>
    <chartFormat chart="2" format="25">
      <pivotArea type="data" outline="0" fieldPosition="0">
        <references count="3">
          <reference field="4294967294" count="1" selected="0">
            <x v="0"/>
          </reference>
          <reference field="2" count="1" selected="0">
            <x v="0"/>
          </reference>
          <reference field="6" count="1" selected="0">
            <x v="11"/>
          </reference>
        </references>
      </pivotArea>
    </chartFormat>
    <chartFormat chart="2" format="26" series="1">
      <pivotArea type="data" outline="0" fieldPosition="0">
        <references count="2">
          <reference field="4294967294" count="1" selected="0">
            <x v="0"/>
          </reference>
          <reference field="2" count="1" selected="0">
            <x v="1"/>
          </reference>
        </references>
      </pivotArea>
    </chartFormat>
    <chartFormat chart="2" format="27">
      <pivotArea type="data" outline="0" fieldPosition="0">
        <references count="3">
          <reference field="4294967294" count="1" selected="0">
            <x v="0"/>
          </reference>
          <reference field="2" count="1" selected="0">
            <x v="1"/>
          </reference>
          <reference field="6" count="1" selected="0">
            <x v="2"/>
          </reference>
        </references>
      </pivotArea>
    </chartFormat>
    <chartFormat chart="2" format="28">
      <pivotArea type="data" outline="0" fieldPosition="0">
        <references count="3">
          <reference field="4294967294" count="1" selected="0">
            <x v="0"/>
          </reference>
          <reference field="2" count="1" selected="0">
            <x v="1"/>
          </reference>
          <reference field="6" count="1" selected="0">
            <x v="7"/>
          </reference>
        </references>
      </pivotArea>
    </chartFormat>
    <chartFormat chart="2" format="29">
      <pivotArea type="data" outline="0" fieldPosition="0">
        <references count="3">
          <reference field="4294967294" count="1" selected="0">
            <x v="0"/>
          </reference>
          <reference field="2" count="1" selected="0">
            <x v="1"/>
          </reference>
          <reference field="6" count="1" selected="0">
            <x v="10"/>
          </reference>
        </references>
      </pivotArea>
    </chartFormat>
    <chartFormat chart="2" format="30">
      <pivotArea type="data" outline="0" fieldPosition="0">
        <references count="3">
          <reference field="4294967294" count="1" selected="0">
            <x v="0"/>
          </reference>
          <reference field="2" count="1" selected="0">
            <x v="1"/>
          </reference>
          <reference field="6" count="1" selected="0">
            <x v="11"/>
          </reference>
        </references>
      </pivotArea>
    </chartFormat>
    <chartFormat chart="2" format="31"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5" format="22" series="1">
      <pivotArea type="data" outline="0" fieldPosition="0">
        <references count="2">
          <reference field="4294967294" count="1" selected="0">
            <x v="0"/>
          </reference>
          <reference field="2" count="1" selected="0">
            <x v="0"/>
          </reference>
        </references>
      </pivotArea>
    </chartFormat>
    <chartFormat chart="5" format="23">
      <pivotArea type="data" outline="0" fieldPosition="0">
        <references count="3">
          <reference field="4294967294" count="1" selected="0">
            <x v="0"/>
          </reference>
          <reference field="2" count="1" selected="0">
            <x v="0"/>
          </reference>
          <reference field="6" count="1" selected="0">
            <x v="2"/>
          </reference>
        </references>
      </pivotArea>
    </chartFormat>
    <chartFormat chart="5" format="24">
      <pivotArea type="data" outline="0" fieldPosition="0">
        <references count="3">
          <reference field="4294967294" count="1" selected="0">
            <x v="0"/>
          </reference>
          <reference field="2" count="1" selected="0">
            <x v="0"/>
          </reference>
          <reference field="6" count="1" selected="0">
            <x v="8"/>
          </reference>
        </references>
      </pivotArea>
    </chartFormat>
    <chartFormat chart="5" format="25">
      <pivotArea type="data" outline="0" fieldPosition="0">
        <references count="3">
          <reference field="4294967294" count="1" selected="0">
            <x v="0"/>
          </reference>
          <reference field="2" count="1" selected="0">
            <x v="0"/>
          </reference>
          <reference field="6" count="1" selected="0">
            <x v="9"/>
          </reference>
        </references>
      </pivotArea>
    </chartFormat>
    <chartFormat chart="5" format="26">
      <pivotArea type="data" outline="0" fieldPosition="0">
        <references count="3">
          <reference field="4294967294" count="1" selected="0">
            <x v="0"/>
          </reference>
          <reference field="2" count="1" selected="0">
            <x v="0"/>
          </reference>
          <reference field="6" count="1" selected="0">
            <x v="11"/>
          </reference>
        </references>
      </pivotArea>
    </chartFormat>
    <chartFormat chart="5" format="27" series="1">
      <pivotArea type="data" outline="0" fieldPosition="0">
        <references count="2">
          <reference field="4294967294" count="1" selected="0">
            <x v="0"/>
          </reference>
          <reference field="2" count="1" selected="0">
            <x v="1"/>
          </reference>
        </references>
      </pivotArea>
    </chartFormat>
    <chartFormat chart="5" format="28">
      <pivotArea type="data" outline="0" fieldPosition="0">
        <references count="3">
          <reference field="4294967294" count="1" selected="0">
            <x v="0"/>
          </reference>
          <reference field="2" count="1" selected="0">
            <x v="1"/>
          </reference>
          <reference field="6" count="1" selected="0">
            <x v="2"/>
          </reference>
        </references>
      </pivotArea>
    </chartFormat>
    <chartFormat chart="5" format="29">
      <pivotArea type="data" outline="0" fieldPosition="0">
        <references count="3">
          <reference field="4294967294" count="1" selected="0">
            <x v="0"/>
          </reference>
          <reference field="2" count="1" selected="0">
            <x v="1"/>
          </reference>
          <reference field="6" count="1" selected="0">
            <x v="7"/>
          </reference>
        </references>
      </pivotArea>
    </chartFormat>
    <chartFormat chart="5" format="30">
      <pivotArea type="data" outline="0" fieldPosition="0">
        <references count="3">
          <reference field="4294967294" count="1" selected="0">
            <x v="0"/>
          </reference>
          <reference field="2" count="1" selected="0">
            <x v="1"/>
          </reference>
          <reference field="6" count="1" selected="0">
            <x v="10"/>
          </reference>
        </references>
      </pivotArea>
    </chartFormat>
    <chartFormat chart="5" format="31">
      <pivotArea type="data" outline="0" fieldPosition="0">
        <references count="3">
          <reference field="4294967294" count="1" selected="0">
            <x v="0"/>
          </reference>
          <reference field="2" count="1" selected="0">
            <x v="1"/>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51EE70-6960-49D9-AB51-E1974E64C6D7}" name="PivotTable7" cacheId="8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9">
  <location ref="A3:B16" firstHeaderRow="1" firstDataRow="1" firstDataCol="1"/>
  <pivotFields count="11">
    <pivotField showAll="0"/>
    <pivotField showAll="0"/>
    <pivotField showAll="0">
      <items count="3">
        <item x="1"/>
        <item x="0"/>
        <item t="default"/>
      </items>
    </pivotField>
    <pivotField axis="axisRow" showAll="0">
      <items count="14">
        <item x="9"/>
        <item x="1"/>
        <item x="4"/>
        <item x="8"/>
        <item x="12"/>
        <item x="6"/>
        <item x="0"/>
        <item x="11"/>
        <item x="7"/>
        <item x="10"/>
        <item x="2"/>
        <item x="5"/>
        <item x="3"/>
        <item t="default"/>
      </items>
    </pivotField>
    <pivotField dataField="1" showAll="0"/>
    <pivotField numFmtId="14" showAll="0"/>
    <pivotField showAll="0">
      <items count="13">
        <item x="5"/>
        <item x="1"/>
        <item x="2"/>
        <item x="6"/>
        <item x="9"/>
        <item x="4"/>
        <item x="11"/>
        <item x="7"/>
        <item x="10"/>
        <item x="3"/>
        <item x="8"/>
        <item x="0"/>
        <item t="default"/>
      </items>
    </pivotField>
    <pivotField showAll="0"/>
    <pivotField showAll="0"/>
    <pivotField showAll="0">
      <items count="8">
        <item x="5"/>
        <item x="6"/>
        <item x="4"/>
        <item x="2"/>
        <item x="0"/>
        <item x="1"/>
        <item x="3"/>
        <item t="default"/>
      </items>
    </pivotField>
    <pivotField showAll="0">
      <items count="3">
        <item x="0"/>
        <item x="1"/>
        <item t="default"/>
      </items>
    </pivotField>
  </pivotFields>
  <rowFields count="1">
    <field x="3"/>
  </rowFields>
  <rowItems count="13">
    <i>
      <x/>
    </i>
    <i>
      <x v="1"/>
    </i>
    <i>
      <x v="2"/>
    </i>
    <i>
      <x v="3"/>
    </i>
    <i>
      <x v="4"/>
    </i>
    <i>
      <x v="5"/>
    </i>
    <i>
      <x v="6"/>
    </i>
    <i>
      <x v="7"/>
    </i>
    <i>
      <x v="8"/>
    </i>
    <i>
      <x v="9"/>
    </i>
    <i>
      <x v="10"/>
    </i>
    <i>
      <x v="11"/>
    </i>
    <i>
      <x v="12"/>
    </i>
  </rowItems>
  <colItems count="1">
    <i/>
  </colItems>
  <dataFields count="1">
    <dataField name="Sum of Salary" fld="4" showDataAs="percentOfTotal" baseField="0" baseItem="0" numFmtId="10"/>
  </dataFields>
  <chartFormats count="4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7"/>
          </reference>
        </references>
      </pivotArea>
    </chartFormat>
    <chartFormat chart="4" format="6">
      <pivotArea type="data" outline="0" fieldPosition="0">
        <references count="2">
          <reference field="4294967294" count="1" selected="0">
            <x v="0"/>
          </reference>
          <reference field="3" count="1" selected="0">
            <x v="12"/>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7"/>
          </reference>
        </references>
      </pivotArea>
    </chartFormat>
    <chartFormat chart="5" format="12">
      <pivotArea type="data" outline="0" fieldPosition="0">
        <references count="2">
          <reference field="4294967294" count="1" selected="0">
            <x v="0"/>
          </reference>
          <reference field="3" count="1" selected="0">
            <x v="1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7"/>
          </reference>
        </references>
      </pivotArea>
    </chartFormat>
    <chartFormat chart="5" format="13">
      <pivotArea type="data" outline="0" fieldPosition="0">
        <references count="2">
          <reference field="4294967294" count="1" selected="0">
            <x v="0"/>
          </reference>
          <reference field="3" count="1" selected="0">
            <x v="3"/>
          </reference>
        </references>
      </pivotArea>
    </chartFormat>
    <chartFormat chart="5" format="14">
      <pivotArea type="data" outline="0" fieldPosition="0">
        <references count="2">
          <reference field="4294967294" count="1" selected="0">
            <x v="0"/>
          </reference>
          <reference field="3" count="1" selected="0">
            <x v="4"/>
          </reference>
        </references>
      </pivotArea>
    </chartFormat>
    <chartFormat chart="5" format="15">
      <pivotArea type="data" outline="0" fieldPosition="0">
        <references count="2">
          <reference field="4294967294" count="1" selected="0">
            <x v="0"/>
          </reference>
          <reference field="3" count="1" selected="0">
            <x v="5"/>
          </reference>
        </references>
      </pivotArea>
    </chartFormat>
    <chartFormat chart="5" format="16">
      <pivotArea type="data" outline="0" fieldPosition="0">
        <references count="2">
          <reference field="4294967294" count="1" selected="0">
            <x v="0"/>
          </reference>
          <reference field="3" count="1" selected="0">
            <x v="6"/>
          </reference>
        </references>
      </pivotArea>
    </chartFormat>
    <chartFormat chart="5" format="17">
      <pivotArea type="data" outline="0" fieldPosition="0">
        <references count="2">
          <reference field="4294967294" count="1" selected="0">
            <x v="0"/>
          </reference>
          <reference field="3" count="1" selected="0">
            <x v="8"/>
          </reference>
        </references>
      </pivotArea>
    </chartFormat>
    <chartFormat chart="5" format="18">
      <pivotArea type="data" outline="0" fieldPosition="0">
        <references count="2">
          <reference field="4294967294" count="1" selected="0">
            <x v="0"/>
          </reference>
          <reference field="3" count="1" selected="0">
            <x v="9"/>
          </reference>
        </references>
      </pivotArea>
    </chartFormat>
    <chartFormat chart="5" format="19">
      <pivotArea type="data" outline="0" fieldPosition="0">
        <references count="2">
          <reference field="4294967294" count="1" selected="0">
            <x v="0"/>
          </reference>
          <reference field="3" count="1" selected="0">
            <x v="10"/>
          </reference>
        </references>
      </pivotArea>
    </chartFormat>
    <chartFormat chart="5" format="20">
      <pivotArea type="data" outline="0" fieldPosition="0">
        <references count="2">
          <reference field="4294967294" count="1" selected="0">
            <x v="0"/>
          </reference>
          <reference field="3" count="1" selected="0">
            <x v="1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12"/>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3" count="1" selected="0">
            <x v="0"/>
          </reference>
        </references>
      </pivotArea>
    </chartFormat>
    <chartFormat chart="8" format="30">
      <pivotArea type="data" outline="0" fieldPosition="0">
        <references count="2">
          <reference field="4294967294" count="1" selected="0">
            <x v="0"/>
          </reference>
          <reference field="3" count="1" selected="0">
            <x v="1"/>
          </reference>
        </references>
      </pivotArea>
    </chartFormat>
    <chartFormat chart="8" format="31">
      <pivotArea type="data" outline="0" fieldPosition="0">
        <references count="2">
          <reference field="4294967294" count="1" selected="0">
            <x v="0"/>
          </reference>
          <reference field="3" count="1" selected="0">
            <x v="2"/>
          </reference>
        </references>
      </pivotArea>
    </chartFormat>
    <chartFormat chart="8" format="32">
      <pivotArea type="data" outline="0" fieldPosition="0">
        <references count="2">
          <reference field="4294967294" count="1" selected="0">
            <x v="0"/>
          </reference>
          <reference field="3" count="1" selected="0">
            <x v="3"/>
          </reference>
        </references>
      </pivotArea>
    </chartFormat>
    <chartFormat chart="8" format="33">
      <pivotArea type="data" outline="0" fieldPosition="0">
        <references count="2">
          <reference field="4294967294" count="1" selected="0">
            <x v="0"/>
          </reference>
          <reference field="3" count="1" selected="0">
            <x v="4"/>
          </reference>
        </references>
      </pivotArea>
    </chartFormat>
    <chartFormat chart="8" format="34">
      <pivotArea type="data" outline="0" fieldPosition="0">
        <references count="2">
          <reference field="4294967294" count="1" selected="0">
            <x v="0"/>
          </reference>
          <reference field="3" count="1" selected="0">
            <x v="5"/>
          </reference>
        </references>
      </pivotArea>
    </chartFormat>
    <chartFormat chart="8" format="35">
      <pivotArea type="data" outline="0" fieldPosition="0">
        <references count="2">
          <reference field="4294967294" count="1" selected="0">
            <x v="0"/>
          </reference>
          <reference field="3" count="1" selected="0">
            <x v="6"/>
          </reference>
        </references>
      </pivotArea>
    </chartFormat>
    <chartFormat chart="8" format="36">
      <pivotArea type="data" outline="0" fieldPosition="0">
        <references count="2">
          <reference field="4294967294" count="1" selected="0">
            <x v="0"/>
          </reference>
          <reference field="3" count="1" selected="0">
            <x v="7"/>
          </reference>
        </references>
      </pivotArea>
    </chartFormat>
    <chartFormat chart="8" format="37">
      <pivotArea type="data" outline="0" fieldPosition="0">
        <references count="2">
          <reference field="4294967294" count="1" selected="0">
            <x v="0"/>
          </reference>
          <reference field="3" count="1" selected="0">
            <x v="8"/>
          </reference>
        </references>
      </pivotArea>
    </chartFormat>
    <chartFormat chart="8" format="38">
      <pivotArea type="data" outline="0" fieldPosition="0">
        <references count="2">
          <reference field="4294967294" count="1" selected="0">
            <x v="0"/>
          </reference>
          <reference field="3" count="1" selected="0">
            <x v="9"/>
          </reference>
        </references>
      </pivotArea>
    </chartFormat>
    <chartFormat chart="8" format="39">
      <pivotArea type="data" outline="0" fieldPosition="0">
        <references count="2">
          <reference field="4294967294" count="1" selected="0">
            <x v="0"/>
          </reference>
          <reference field="3" count="1" selected="0">
            <x v="10"/>
          </reference>
        </references>
      </pivotArea>
    </chartFormat>
    <chartFormat chart="8" format="40">
      <pivotArea type="data" outline="0" fieldPosition="0">
        <references count="2">
          <reference field="4294967294" count="1" selected="0">
            <x v="0"/>
          </reference>
          <reference field="3" count="1" selected="0">
            <x v="11"/>
          </reference>
        </references>
      </pivotArea>
    </chartFormat>
    <chartFormat chart="8" format="41">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70BD19-2440-4437-8BB2-186366210942}" sourceName="Gender">
  <pivotTables>
    <pivotTable tabId="3" name="PivotTable1"/>
    <pivotTable tabId="5" name="PivotTable2"/>
    <pivotTable tabId="7" name="PivotTable4"/>
    <pivotTable tabId="6" name="PivotTable3"/>
    <pivotTable tabId="11" name="PivotTable6"/>
    <pivotTable tabId="10" name="PivotTable5"/>
    <pivotTable tabId="12" name="PivotTable7"/>
  </pivotTables>
  <data>
    <tabular pivotCacheId="12862262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9F392D1-B901-43CB-B281-3892E5C12F28}" sourceName="Department">
  <pivotTables>
    <pivotTable tabId="3" name="PivotTable1"/>
    <pivotTable tabId="5" name="PivotTable2"/>
    <pivotTable tabId="7" name="PivotTable4"/>
    <pivotTable tabId="6" name="PivotTable3"/>
    <pivotTable tabId="11" name="PivotTable6"/>
    <pivotTable tabId="10" name="PivotTable5"/>
    <pivotTable tabId="12" name="PivotTable7"/>
  </pivotTables>
  <data>
    <tabular pivotCacheId="1286226254">
      <items count="13">
        <i x="9" s="1"/>
        <i x="1" s="1"/>
        <i x="4" s="1"/>
        <i x="8" s="1"/>
        <i x="12" s="1"/>
        <i x="6" s="1"/>
        <i x="0" s="1"/>
        <i x="11" s="1"/>
        <i x="7" s="1"/>
        <i x="10" s="1"/>
        <i x="2"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CC92D06-0363-4839-B91B-AE40FC12024C}" sourceName="month">
  <pivotTables>
    <pivotTable tabId="3" name="PivotTable1"/>
    <pivotTable tabId="5" name="PivotTable2"/>
    <pivotTable tabId="7" name="PivotTable4"/>
    <pivotTable tabId="6" name="PivotTable3"/>
    <pivotTable tabId="11" name="PivotTable6"/>
    <pivotTable tabId="10" name="PivotTable5"/>
    <pivotTable tabId="12" name="PivotTable7"/>
  </pivotTables>
  <data>
    <tabular pivotCacheId="1286226254">
      <items count="12">
        <i x="5" s="1"/>
        <i x="1" s="1"/>
        <i x="2" s="1"/>
        <i x="6" s="1"/>
        <i x="9" s="1"/>
        <i x="4" s="1"/>
        <i x="11" s="1"/>
        <i x="7" s="1"/>
        <i x="10" s="1"/>
        <i x="3" s="1"/>
        <i x="8"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332E08FC-DE37-480F-808A-A4F324BC9BE1}" sourceName="Work location">
  <pivotTables>
    <pivotTable tabId="7" name="PivotTable4"/>
    <pivotTable tabId="5" name="PivotTable2"/>
    <pivotTable tabId="6" name="PivotTable3"/>
    <pivotTable tabId="11" name="PivotTable6"/>
    <pivotTable tabId="10" name="PivotTable5"/>
    <pivotTable tabId="3" name="PivotTable1"/>
    <pivotTable tabId="12" name="PivotTable7"/>
  </pivotTables>
  <data>
    <tabular pivotCacheId="1286226254">
      <items count="7">
        <i x="5" s="1"/>
        <i x="6" s="1"/>
        <i x="4" s="1"/>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or_full_time" xr10:uid="{7C207E3E-EF90-4C15-9950-B4EA6E677E7D}" sourceName="part time or full time">
  <pivotTables>
    <pivotTable tabId="7" name="PivotTable4"/>
    <pivotTable tabId="5" name="PivotTable2"/>
    <pivotTable tabId="6" name="PivotTable3"/>
    <pivotTable tabId="11" name="PivotTable6"/>
    <pivotTable tabId="10" name="PivotTable5"/>
    <pivotTable tabId="3" name="PivotTable1"/>
    <pivotTable tabId="12" name="PivotTable7"/>
  </pivotTables>
  <data>
    <tabular pivotCacheId="12862262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A857C1-8B61-4E60-B91E-2B317D685119}" cache="Slicer_Gender" caption="Gender" rowHeight="234950"/>
  <slicer name="Department" xr10:uid="{076AC140-FE91-4C5B-BE2B-6DA13742EE94}" cache="Slicer_Department" caption="Department" rowHeight="234950"/>
  <slicer name="month" xr10:uid="{CA381FB8-24E5-4420-861B-735A2BE29E65}" cache="Slicer_month" caption="month" rowHeight="234950"/>
  <slicer name="Work location" xr10:uid="{09430E37-47D5-4E49-B279-4F0B5C1E7302}" cache="Slicer_Work_location" caption="Work location" rowHeight="234950"/>
  <slicer name="part time or full time" xr10:uid="{A2B15745-74C5-45F0-98B0-36821DFB8566}" cache="Slicer_part_time_or_full_time" caption="part time or full 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CC467B-40A4-455F-ACE7-B1C596136D31}" name="Table1" displayName="Table1" ref="C1:N246" totalsRowShown="0">
  <autoFilter ref="C1:N246" xr:uid="{EE182796-6443-4558-9B87-909B73329DFC}"/>
  <tableColumns count="12">
    <tableColumn id="1" xr3:uid="{E0780C2C-24FE-4712-8004-3B8B61A2BF39}" name="Emp ID"/>
    <tableColumn id="2" xr3:uid="{A9135428-88B3-460D-83E1-E34F114787E2}" name="Name"/>
    <tableColumn id="3" xr3:uid="{D80661E5-72F8-4916-BC87-EEABB50F4D3B}" name="Gender"/>
    <tableColumn id="4" xr3:uid="{C23D0221-6F7B-4CD2-B64B-85FD483C0C4F}" name="Department"/>
    <tableColumn id="5" xr3:uid="{06DDE3FA-1257-442C-B963-CB013160EF8C}" name="Salary" dataDxfId="6"/>
    <tableColumn id="6" xr3:uid="{E94D2028-6ED7-4560-A58B-7C6982E56FE0}" name="Start Date" dataDxfId="5"/>
    <tableColumn id="7" xr3:uid="{F83CFAF7-2D2A-42D8-A02C-A6D0E5D5A2F0}" name="month" dataDxfId="4">
      <calculatedColumnFormula>TEXT(H2,"mmm")</calculatedColumnFormula>
    </tableColumn>
    <tableColumn id="8" xr3:uid="{F619AB23-AE41-4D11-9E97-6DFF0720A2FD}" name="FTE" dataDxfId="3"/>
    <tableColumn id="9" xr3:uid="{59DBAFAF-6A1F-4670-9574-2F2CB6D55577}" name="Employee type"/>
    <tableColumn id="10" xr3:uid="{B4DEFE42-FF42-4827-9648-A651DDAE21E4}" name="Work location"/>
    <tableColumn id="11" xr3:uid="{DD2FEEB9-2068-46CD-92DD-EFB5420519CA}" name="part time or full time">
      <calculatedColumnFormula>IF(J2&lt;1,"part time","full time")</calculatedColumnFormula>
    </tableColumn>
    <tableColumn id="12" xr3:uid="{75A4DCD9-E1C1-4649-876E-5DF08F662C7D}" name="department_status" dataDxfId="2">
      <calculatedColumnFormula>IF(UPPER(TRIM(F2&amp;""))="NULL","Missing","Available")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496C-4ECC-4567-B672-B103B3FCC191}">
  <dimension ref="A3:B5"/>
  <sheetViews>
    <sheetView zoomScale="94" zoomScaleNormal="94" workbookViewId="0">
      <selection activeCell="B5" sqref="B5"/>
    </sheetView>
  </sheetViews>
  <sheetFormatPr defaultRowHeight="14.4" x14ac:dyDescent="0.3"/>
  <cols>
    <col min="1" max="1" width="12.88671875" bestFit="1" customWidth="1"/>
    <col min="2" max="2" width="12.77734375" bestFit="1" customWidth="1"/>
    <col min="3" max="3" width="20.5546875" bestFit="1" customWidth="1"/>
    <col min="4" max="4" width="10.88671875" bestFit="1" customWidth="1"/>
    <col min="5" max="5" width="16.33203125" bestFit="1" customWidth="1"/>
    <col min="6" max="8" width="10.6640625" bestFit="1" customWidth="1"/>
    <col min="9" max="9" width="19.6640625" bestFit="1" customWidth="1"/>
    <col min="10" max="10" width="24.5546875" bestFit="1" customWidth="1"/>
    <col min="11" max="13" width="10.6640625" bestFit="1" customWidth="1"/>
    <col min="14" max="14" width="11.6640625" bestFit="1" customWidth="1"/>
  </cols>
  <sheetData>
    <row r="3" spans="1:2" x14ac:dyDescent="0.3">
      <c r="A3" s="5" t="s">
        <v>514</v>
      </c>
      <c r="B3" t="s">
        <v>516</v>
      </c>
    </row>
    <row r="4" spans="1:2" x14ac:dyDescent="0.3">
      <c r="A4" s="6" t="s">
        <v>10</v>
      </c>
      <c r="B4" s="7">
        <v>8752241.6800000053</v>
      </c>
    </row>
    <row r="5" spans="1:2" x14ac:dyDescent="0.3">
      <c r="A5" s="6" t="s">
        <v>13</v>
      </c>
      <c r="B5" s="7">
        <v>8843922.9949999973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D56B-6D8A-4B6F-B01B-A87BF3BE5899}">
  <dimension ref="A3:C17"/>
  <sheetViews>
    <sheetView topLeftCell="B1" zoomScale="103" zoomScaleNormal="274" workbookViewId="0">
      <selection activeCell="C17" sqref="C17"/>
    </sheetView>
  </sheetViews>
  <sheetFormatPr defaultRowHeight="14.4" x14ac:dyDescent="0.3"/>
  <cols>
    <col min="1" max="1" width="24" bestFit="1" customWidth="1"/>
    <col min="2" max="2" width="15.5546875" bestFit="1" customWidth="1"/>
    <col min="3" max="3" width="5.44140625" bestFit="1" customWidth="1"/>
    <col min="4" max="4" width="10.77734375" bestFit="1" customWidth="1"/>
    <col min="5" max="5" width="7.88671875" bestFit="1" customWidth="1"/>
    <col min="6" max="6" width="8.6640625" bestFit="1" customWidth="1"/>
    <col min="7" max="7" width="9.88671875" bestFit="1" customWidth="1"/>
    <col min="8" max="8" width="10.77734375" bestFit="1" customWidth="1"/>
  </cols>
  <sheetData>
    <row r="3" spans="1:3" x14ac:dyDescent="0.3">
      <c r="A3" s="5" t="s">
        <v>520</v>
      </c>
      <c r="B3" s="5" t="s">
        <v>519</v>
      </c>
    </row>
    <row r="4" spans="1:3" x14ac:dyDescent="0.3">
      <c r="A4" s="5" t="s">
        <v>514</v>
      </c>
      <c r="B4" t="s">
        <v>10</v>
      </c>
      <c r="C4" t="s">
        <v>13</v>
      </c>
    </row>
    <row r="5" spans="1:3" x14ac:dyDescent="0.3">
      <c r="A5" s="6" t="s">
        <v>39</v>
      </c>
      <c r="B5" s="7">
        <v>8</v>
      </c>
      <c r="C5" s="7">
        <v>16</v>
      </c>
    </row>
    <row r="6" spans="1:3" x14ac:dyDescent="0.3">
      <c r="A6" s="6" t="s">
        <v>19</v>
      </c>
      <c r="B6" s="7">
        <v>10</v>
      </c>
      <c r="C6" s="7">
        <v>11</v>
      </c>
    </row>
    <row r="7" spans="1:3" x14ac:dyDescent="0.3">
      <c r="A7" s="6" t="s">
        <v>16</v>
      </c>
      <c r="B7" s="7">
        <v>5</v>
      </c>
      <c r="C7" s="7">
        <v>15</v>
      </c>
    </row>
    <row r="8" spans="1:3" x14ac:dyDescent="0.3">
      <c r="A8" s="6" t="s">
        <v>14</v>
      </c>
      <c r="B8" s="7">
        <v>8</v>
      </c>
      <c r="C8" s="7">
        <v>13</v>
      </c>
    </row>
    <row r="9" spans="1:3" x14ac:dyDescent="0.3">
      <c r="A9" s="6" t="s">
        <v>28</v>
      </c>
      <c r="B9" s="7">
        <v>9</v>
      </c>
      <c r="C9" s="7">
        <v>12</v>
      </c>
    </row>
    <row r="10" spans="1:3" x14ac:dyDescent="0.3">
      <c r="A10" s="6" t="s">
        <v>32</v>
      </c>
      <c r="B10" s="7">
        <v>5</v>
      </c>
      <c r="C10" s="7">
        <v>7</v>
      </c>
    </row>
    <row r="11" spans="1:3" x14ac:dyDescent="0.3">
      <c r="A11" s="6" t="s">
        <v>24</v>
      </c>
      <c r="B11" s="7">
        <v>5</v>
      </c>
      <c r="C11" s="7">
        <v>4</v>
      </c>
    </row>
    <row r="12" spans="1:3" x14ac:dyDescent="0.3">
      <c r="A12" s="6" t="s">
        <v>15</v>
      </c>
      <c r="B12" s="7">
        <v>14</v>
      </c>
      <c r="C12" s="7">
        <v>10</v>
      </c>
    </row>
    <row r="13" spans="1:3" x14ac:dyDescent="0.3">
      <c r="A13" s="6" t="s">
        <v>29</v>
      </c>
      <c r="B13" s="7">
        <v>12</v>
      </c>
      <c r="C13" s="7">
        <v>7</v>
      </c>
    </row>
    <row r="14" spans="1:3" x14ac:dyDescent="0.3">
      <c r="A14" s="6" t="s">
        <v>33</v>
      </c>
      <c r="B14" s="7">
        <v>9</v>
      </c>
      <c r="C14" s="7">
        <v>7</v>
      </c>
    </row>
    <row r="15" spans="1:3" x14ac:dyDescent="0.3">
      <c r="A15" s="6" t="s">
        <v>25</v>
      </c>
      <c r="B15" s="7">
        <v>12</v>
      </c>
      <c r="C15" s="7">
        <v>7</v>
      </c>
    </row>
    <row r="16" spans="1:3" x14ac:dyDescent="0.3">
      <c r="A16" s="6" t="s">
        <v>38</v>
      </c>
      <c r="B16" s="7">
        <v>8</v>
      </c>
      <c r="C16" s="7">
        <v>10</v>
      </c>
    </row>
    <row r="17" spans="1:3" x14ac:dyDescent="0.3">
      <c r="A17" s="6" t="s">
        <v>11</v>
      </c>
      <c r="B17" s="7">
        <v>17</v>
      </c>
      <c r="C17" s="7">
        <v>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06D0D-3171-48A2-88FF-6264F50899B6}">
  <dimension ref="A3:H6"/>
  <sheetViews>
    <sheetView workbookViewId="0">
      <selection activeCell="C5" sqref="C5"/>
    </sheetView>
  </sheetViews>
  <sheetFormatPr defaultRowHeight="14.4" x14ac:dyDescent="0.3"/>
  <cols>
    <col min="1" max="1" width="19.109375" bestFit="1" customWidth="1"/>
    <col min="2" max="2" width="21" bestFit="1" customWidth="1"/>
    <col min="3" max="3" width="13.21875" bestFit="1" customWidth="1"/>
    <col min="4" max="4" width="14.109375" bestFit="1" customWidth="1"/>
    <col min="5" max="5" width="15.5546875" bestFit="1" customWidth="1"/>
    <col min="6" max="6" width="7.5546875" bestFit="1" customWidth="1"/>
    <col min="7" max="7" width="11.33203125" bestFit="1" customWidth="1"/>
    <col min="8" max="8" width="22.33203125" bestFit="1" customWidth="1"/>
    <col min="9" max="9" width="10.33203125" bestFit="1" customWidth="1"/>
    <col min="10" max="10" width="19.109375" bestFit="1" customWidth="1"/>
    <col min="11" max="11" width="10.33203125" bestFit="1" customWidth="1"/>
    <col min="12" max="12" width="19.109375" bestFit="1" customWidth="1"/>
    <col min="13" max="13" width="10.33203125" bestFit="1" customWidth="1"/>
    <col min="14" max="14" width="22.33203125" bestFit="1" customWidth="1"/>
    <col min="15" max="15" width="10.33203125" bestFit="1" customWidth="1"/>
    <col min="16" max="16" width="25.6640625" bestFit="1" customWidth="1"/>
    <col min="17" max="17" width="19.77734375" bestFit="1" customWidth="1"/>
    <col min="18" max="18" width="5.21875" bestFit="1" customWidth="1"/>
    <col min="19" max="19" width="16.109375" bestFit="1" customWidth="1"/>
    <col min="20" max="20" width="24.33203125" bestFit="1" customWidth="1"/>
    <col min="21" max="21" width="5.21875" bestFit="1" customWidth="1"/>
    <col min="22" max="22" width="27.109375" bestFit="1" customWidth="1"/>
    <col min="23" max="23" width="10.77734375" bestFit="1" customWidth="1"/>
  </cols>
  <sheetData>
    <row r="3" spans="1:8" x14ac:dyDescent="0.3">
      <c r="A3" s="5" t="s">
        <v>521</v>
      </c>
      <c r="B3" s="5" t="s">
        <v>519</v>
      </c>
    </row>
    <row r="4" spans="1:8" x14ac:dyDescent="0.3">
      <c r="A4" s="5" t="s">
        <v>514</v>
      </c>
      <c r="B4" t="s">
        <v>506</v>
      </c>
      <c r="C4" t="s">
        <v>510</v>
      </c>
      <c r="D4" t="s">
        <v>507</v>
      </c>
      <c r="E4" t="s">
        <v>509</v>
      </c>
      <c r="F4" t="s">
        <v>511</v>
      </c>
      <c r="G4" t="s">
        <v>508</v>
      </c>
      <c r="H4" t="s">
        <v>505</v>
      </c>
    </row>
    <row r="5" spans="1:8" x14ac:dyDescent="0.3">
      <c r="A5" s="6" t="s">
        <v>517</v>
      </c>
      <c r="B5" s="7">
        <v>23</v>
      </c>
      <c r="C5" s="7">
        <v>26</v>
      </c>
      <c r="D5" s="7">
        <v>24</v>
      </c>
      <c r="E5" s="7">
        <v>29</v>
      </c>
      <c r="F5" s="7">
        <v>48</v>
      </c>
      <c r="G5" s="7">
        <v>17</v>
      </c>
      <c r="H5" s="7">
        <v>24</v>
      </c>
    </row>
    <row r="6" spans="1:8" x14ac:dyDescent="0.3">
      <c r="A6" s="6" t="s">
        <v>518</v>
      </c>
      <c r="B6" s="7">
        <v>6</v>
      </c>
      <c r="C6" s="7">
        <v>7</v>
      </c>
      <c r="D6" s="7">
        <v>5</v>
      </c>
      <c r="E6" s="7">
        <v>11</v>
      </c>
      <c r="F6" s="7">
        <v>14</v>
      </c>
      <c r="G6" s="7">
        <v>8</v>
      </c>
      <c r="H6" s="7">
        <v>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F9553-91E8-4FAD-AD12-73A64FCD3F10}">
  <dimension ref="A3:B6"/>
  <sheetViews>
    <sheetView workbookViewId="0">
      <selection activeCell="B5" sqref="B5"/>
    </sheetView>
  </sheetViews>
  <sheetFormatPr defaultRowHeight="14.4" x14ac:dyDescent="0.3"/>
  <cols>
    <col min="1" max="1" width="12.5546875" bestFit="1" customWidth="1"/>
    <col min="2" max="2" width="29.88671875" bestFit="1" customWidth="1"/>
    <col min="3" max="3" width="20.109375" bestFit="1" customWidth="1"/>
    <col min="4" max="4" width="10.88671875" bestFit="1" customWidth="1"/>
    <col min="5" max="5" width="16.109375" bestFit="1" customWidth="1"/>
    <col min="6" max="6" width="5.33203125" bestFit="1" customWidth="1"/>
    <col min="7" max="7" width="9.6640625" bestFit="1" customWidth="1"/>
    <col min="8" max="8" width="5.44140625" bestFit="1" customWidth="1"/>
    <col min="9" max="9" width="19.6640625" bestFit="1" customWidth="1"/>
    <col min="10" max="10" width="24.33203125" bestFit="1" customWidth="1"/>
    <col min="11" max="11" width="5.21875" bestFit="1" customWidth="1"/>
    <col min="12" max="14" width="7.77734375" bestFit="1" customWidth="1"/>
    <col min="15" max="15" width="10.77734375" bestFit="1" customWidth="1"/>
  </cols>
  <sheetData>
    <row r="3" spans="1:2" x14ac:dyDescent="0.3">
      <c r="A3" s="5" t="s">
        <v>514</v>
      </c>
      <c r="B3" t="s">
        <v>546</v>
      </c>
    </row>
    <row r="4" spans="1:2" x14ac:dyDescent="0.3">
      <c r="A4" s="6" t="s">
        <v>10</v>
      </c>
      <c r="B4" s="9">
        <v>0.49795918367346936</v>
      </c>
    </row>
    <row r="5" spans="1:2" x14ac:dyDescent="0.3">
      <c r="A5" s="6" t="s">
        <v>13</v>
      </c>
      <c r="B5" s="9">
        <v>0.50204081632653064</v>
      </c>
    </row>
    <row r="6" spans="1:2" x14ac:dyDescent="0.3">
      <c r="A6" s="6" t="s">
        <v>515</v>
      </c>
      <c r="B6" s="9">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AD89-1C89-4F35-B181-7A8379D54AA9}">
  <dimension ref="A3:C16"/>
  <sheetViews>
    <sheetView zoomScale="125" workbookViewId="0">
      <selection activeCell="B10" sqref="B10"/>
    </sheetView>
  </sheetViews>
  <sheetFormatPr defaultRowHeight="14.4" x14ac:dyDescent="0.3"/>
  <cols>
    <col min="1" max="1" width="14.88671875" bestFit="1" customWidth="1"/>
    <col min="2" max="2" width="15.5546875" bestFit="1" customWidth="1"/>
    <col min="3" max="3" width="5.21875" bestFit="1" customWidth="1"/>
    <col min="4" max="4" width="15" bestFit="1" customWidth="1"/>
  </cols>
  <sheetData>
    <row r="3" spans="1:3" x14ac:dyDescent="0.3">
      <c r="A3" s="5" t="s">
        <v>534</v>
      </c>
      <c r="B3" s="5" t="s">
        <v>519</v>
      </c>
    </row>
    <row r="4" spans="1:3" x14ac:dyDescent="0.3">
      <c r="A4" s="5" t="s">
        <v>514</v>
      </c>
      <c r="B4" t="s">
        <v>10</v>
      </c>
      <c r="C4" t="s">
        <v>13</v>
      </c>
    </row>
    <row r="5" spans="1:3" x14ac:dyDescent="0.3">
      <c r="A5" s="6" t="s">
        <v>522</v>
      </c>
      <c r="B5" s="7">
        <v>9</v>
      </c>
      <c r="C5" s="7">
        <v>12</v>
      </c>
    </row>
    <row r="6" spans="1:3" x14ac:dyDescent="0.3">
      <c r="A6" s="6" t="s">
        <v>523</v>
      </c>
      <c r="B6" s="7">
        <v>8</v>
      </c>
      <c r="C6" s="7">
        <v>12</v>
      </c>
    </row>
    <row r="7" spans="1:3" x14ac:dyDescent="0.3">
      <c r="A7" s="6" t="s">
        <v>524</v>
      </c>
      <c r="B7" s="7">
        <v>9</v>
      </c>
      <c r="C7" s="7">
        <v>9</v>
      </c>
    </row>
    <row r="8" spans="1:3" x14ac:dyDescent="0.3">
      <c r="A8" s="6" t="s">
        <v>525</v>
      </c>
      <c r="B8" s="7">
        <v>12</v>
      </c>
      <c r="C8" s="7">
        <v>9</v>
      </c>
    </row>
    <row r="9" spans="1:3" x14ac:dyDescent="0.3">
      <c r="A9" s="6" t="s">
        <v>526</v>
      </c>
      <c r="B9" s="7">
        <v>5</v>
      </c>
      <c r="C9" s="7">
        <v>11</v>
      </c>
    </row>
    <row r="10" spans="1:3" x14ac:dyDescent="0.3">
      <c r="A10" s="6" t="s">
        <v>527</v>
      </c>
      <c r="B10" s="7">
        <v>8</v>
      </c>
      <c r="C10" s="7">
        <v>9</v>
      </c>
    </row>
    <row r="11" spans="1:3" x14ac:dyDescent="0.3">
      <c r="A11" s="6" t="s">
        <v>528</v>
      </c>
      <c r="B11" s="7">
        <v>18</v>
      </c>
      <c r="C11" s="7">
        <v>6</v>
      </c>
    </row>
    <row r="12" spans="1:3" x14ac:dyDescent="0.3">
      <c r="A12" s="6" t="s">
        <v>529</v>
      </c>
      <c r="B12" s="7">
        <v>12</v>
      </c>
      <c r="C12" s="7">
        <v>9</v>
      </c>
    </row>
    <row r="13" spans="1:3" x14ac:dyDescent="0.3">
      <c r="A13" s="6" t="s">
        <v>530</v>
      </c>
      <c r="B13" s="7">
        <v>6</v>
      </c>
      <c r="C13" s="7">
        <v>10</v>
      </c>
    </row>
    <row r="14" spans="1:3" x14ac:dyDescent="0.3">
      <c r="A14" s="6" t="s">
        <v>531</v>
      </c>
      <c r="B14" s="7">
        <v>10</v>
      </c>
      <c r="C14" s="7">
        <v>16</v>
      </c>
    </row>
    <row r="15" spans="1:3" x14ac:dyDescent="0.3">
      <c r="A15" s="6" t="s">
        <v>532</v>
      </c>
      <c r="B15" s="7">
        <v>13</v>
      </c>
      <c r="C15" s="7">
        <v>6</v>
      </c>
    </row>
    <row r="16" spans="1:3" x14ac:dyDescent="0.3">
      <c r="A16" s="6" t="s">
        <v>533</v>
      </c>
      <c r="B16" s="7">
        <v>12</v>
      </c>
      <c r="C16" s="7">
        <v>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C05F-098C-4C9E-8E9C-4434D85D52E4}">
  <dimension ref="A3:C16"/>
  <sheetViews>
    <sheetView zoomScale="129" workbookViewId="0">
      <selection activeCell="B11" sqref="B11"/>
    </sheetView>
  </sheetViews>
  <sheetFormatPr defaultRowHeight="14.4" x14ac:dyDescent="0.3"/>
  <cols>
    <col min="1" max="1" width="12.5546875" bestFit="1" customWidth="1"/>
    <col min="2" max="2" width="15.5546875" bestFit="1" customWidth="1"/>
    <col min="3" max="3" width="11.109375" bestFit="1" customWidth="1"/>
    <col min="4" max="4" width="12" bestFit="1" customWidth="1"/>
  </cols>
  <sheetData>
    <row r="3" spans="1:3" x14ac:dyDescent="0.3">
      <c r="A3" s="5" t="s">
        <v>516</v>
      </c>
      <c r="B3" s="5" t="s">
        <v>519</v>
      </c>
    </row>
    <row r="4" spans="1:3" x14ac:dyDescent="0.3">
      <c r="A4" s="5" t="s">
        <v>514</v>
      </c>
      <c r="B4" t="s">
        <v>10</v>
      </c>
      <c r="C4" t="s">
        <v>13</v>
      </c>
    </row>
    <row r="5" spans="1:3" x14ac:dyDescent="0.3">
      <c r="A5" s="6" t="s">
        <v>522</v>
      </c>
      <c r="B5" s="7">
        <v>639510.80000000005</v>
      </c>
      <c r="C5" s="7">
        <v>707340.79999999993</v>
      </c>
    </row>
    <row r="6" spans="1:3" x14ac:dyDescent="0.3">
      <c r="A6" s="6" t="s">
        <v>523</v>
      </c>
      <c r="B6" s="7">
        <v>666993.94999999995</v>
      </c>
      <c r="C6" s="7">
        <v>969614.64999999991</v>
      </c>
    </row>
    <row r="7" spans="1:3" x14ac:dyDescent="0.3">
      <c r="A7" s="6" t="s">
        <v>524</v>
      </c>
      <c r="B7" s="7">
        <v>625460.06000000006</v>
      </c>
      <c r="C7" s="7">
        <v>636733.38</v>
      </c>
    </row>
    <row r="8" spans="1:3" x14ac:dyDescent="0.3">
      <c r="A8" s="6" t="s">
        <v>525</v>
      </c>
      <c r="B8" s="7">
        <v>936364.85</v>
      </c>
      <c r="C8" s="7">
        <v>666343.38000000012</v>
      </c>
    </row>
    <row r="9" spans="1:3" x14ac:dyDescent="0.3">
      <c r="A9" s="6" t="s">
        <v>526</v>
      </c>
      <c r="B9" s="7">
        <v>296505.42499999999</v>
      </c>
      <c r="C9" s="7">
        <v>886497.8600000001</v>
      </c>
    </row>
    <row r="10" spans="1:3" x14ac:dyDescent="0.3">
      <c r="A10" s="6" t="s">
        <v>527</v>
      </c>
      <c r="B10" s="7">
        <v>491756.99</v>
      </c>
      <c r="C10" s="7">
        <v>632123.18999999994</v>
      </c>
    </row>
    <row r="11" spans="1:3" x14ac:dyDescent="0.3">
      <c r="A11" s="6" t="s">
        <v>528</v>
      </c>
      <c r="B11" s="7">
        <v>1394559.5999999999</v>
      </c>
      <c r="C11" s="7">
        <v>465922.03</v>
      </c>
    </row>
    <row r="12" spans="1:3" x14ac:dyDescent="0.3">
      <c r="A12" s="6" t="s">
        <v>529</v>
      </c>
      <c r="B12" s="7">
        <v>870193.1549999998</v>
      </c>
      <c r="C12" s="7">
        <v>754113.85</v>
      </c>
    </row>
    <row r="13" spans="1:3" x14ac:dyDescent="0.3">
      <c r="A13" s="6" t="s">
        <v>530</v>
      </c>
      <c r="B13" s="7">
        <v>411345.88</v>
      </c>
      <c r="C13" s="7">
        <v>605758.56999999995</v>
      </c>
    </row>
    <row r="14" spans="1:3" x14ac:dyDescent="0.3">
      <c r="A14" s="6" t="s">
        <v>531</v>
      </c>
      <c r="B14" s="7">
        <v>528804.75</v>
      </c>
      <c r="C14" s="7">
        <v>1182948.6199999999</v>
      </c>
    </row>
    <row r="15" spans="1:3" x14ac:dyDescent="0.3">
      <c r="A15" s="6" t="s">
        <v>532</v>
      </c>
      <c r="B15" s="7">
        <v>993264.85</v>
      </c>
      <c r="C15" s="7">
        <v>329346.07499999995</v>
      </c>
    </row>
    <row r="16" spans="1:3" x14ac:dyDescent="0.3">
      <c r="A16" s="6" t="s">
        <v>533</v>
      </c>
      <c r="B16" s="7">
        <v>897481.37000000011</v>
      </c>
      <c r="C16" s="7">
        <v>1007180.5900000001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5B327-21DB-46DF-9BDD-610F09859DF4}">
  <dimension ref="A3:B16"/>
  <sheetViews>
    <sheetView workbookViewId="0">
      <selection activeCell="B6" sqref="B6"/>
    </sheetView>
  </sheetViews>
  <sheetFormatPr defaultRowHeight="14.4" x14ac:dyDescent="0.3"/>
  <cols>
    <col min="1" max="1" width="23.5546875" bestFit="1" customWidth="1"/>
    <col min="2" max="2" width="12.5546875" bestFit="1" customWidth="1"/>
  </cols>
  <sheetData>
    <row r="3" spans="1:2" x14ac:dyDescent="0.3">
      <c r="A3" s="5" t="s">
        <v>514</v>
      </c>
      <c r="B3" t="s">
        <v>516</v>
      </c>
    </row>
    <row r="4" spans="1:2" x14ac:dyDescent="0.3">
      <c r="A4" s="6" t="s">
        <v>39</v>
      </c>
      <c r="B4" s="9">
        <v>9.7004661329699648E-2</v>
      </c>
    </row>
    <row r="5" spans="1:2" x14ac:dyDescent="0.3">
      <c r="A5" s="6" t="s">
        <v>19</v>
      </c>
      <c r="B5" s="9">
        <v>9.2814422356501391E-2</v>
      </c>
    </row>
    <row r="6" spans="1:2" x14ac:dyDescent="0.3">
      <c r="A6" s="6" t="s">
        <v>16</v>
      </c>
      <c r="B6" s="9">
        <v>8.3984637123771411E-2</v>
      </c>
    </row>
    <row r="7" spans="1:2" x14ac:dyDescent="0.3">
      <c r="A7" s="6" t="s">
        <v>14</v>
      </c>
      <c r="B7" s="9">
        <v>8.2780991591282688E-2</v>
      </c>
    </row>
    <row r="8" spans="1:2" x14ac:dyDescent="0.3">
      <c r="A8" s="6" t="s">
        <v>28</v>
      </c>
      <c r="B8" s="9">
        <v>7.2303943131857493E-2</v>
      </c>
    </row>
    <row r="9" spans="1:2" x14ac:dyDescent="0.3">
      <c r="A9" s="6" t="s">
        <v>32</v>
      </c>
      <c r="B9" s="9">
        <v>4.3946826725182367E-2</v>
      </c>
    </row>
    <row r="10" spans="1:2" x14ac:dyDescent="0.3">
      <c r="A10" s="6" t="s">
        <v>24</v>
      </c>
      <c r="B10" s="9">
        <v>4.4601562584546561E-2</v>
      </c>
    </row>
    <row r="11" spans="1:2" x14ac:dyDescent="0.3">
      <c r="A11" s="6" t="s">
        <v>15</v>
      </c>
      <c r="B11" s="9">
        <v>0.105705645767378</v>
      </c>
    </row>
    <row r="12" spans="1:2" x14ac:dyDescent="0.3">
      <c r="A12" s="6" t="s">
        <v>29</v>
      </c>
      <c r="B12" s="9">
        <v>6.8420283467255053E-2</v>
      </c>
    </row>
    <row r="13" spans="1:2" x14ac:dyDescent="0.3">
      <c r="A13" s="6" t="s">
        <v>33</v>
      </c>
      <c r="B13" s="9">
        <v>6.3240773234011574E-2</v>
      </c>
    </row>
    <row r="14" spans="1:2" x14ac:dyDescent="0.3">
      <c r="A14" s="6" t="s">
        <v>25</v>
      </c>
      <c r="B14" s="9">
        <v>7.6900842597962329E-2</v>
      </c>
    </row>
    <row r="15" spans="1:2" x14ac:dyDescent="0.3">
      <c r="A15" s="6" t="s">
        <v>38</v>
      </c>
      <c r="B15" s="9">
        <v>6.8050557159269123E-2</v>
      </c>
    </row>
    <row r="16" spans="1:2" x14ac:dyDescent="0.3">
      <c r="A16" s="6" t="s">
        <v>11</v>
      </c>
      <c r="B16" s="9">
        <v>0.1002448529312823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1:N1002"/>
  <sheetViews>
    <sheetView showGridLines="0" topLeftCell="A34" zoomScaleNormal="100" workbookViewId="0">
      <selection activeCell="D66" sqref="D66"/>
    </sheetView>
  </sheetViews>
  <sheetFormatPr defaultRowHeight="14.4" x14ac:dyDescent="0.3"/>
  <cols>
    <col min="1" max="1" width="1.6640625" customWidth="1"/>
    <col min="2" max="2" width="3.6640625" customWidth="1"/>
    <col min="4" max="4" width="24.88671875" bestFit="1" customWidth="1"/>
    <col min="5" max="5" width="9" customWidth="1"/>
    <col min="6" max="6" width="25.88671875" bestFit="1" customWidth="1"/>
    <col min="7" max="7" width="15.33203125" customWidth="1"/>
    <col min="8" max="9" width="12.88671875" customWidth="1"/>
    <col min="11" max="11" width="15.44140625" customWidth="1"/>
    <col min="12" max="12" width="24.5546875" customWidth="1"/>
    <col min="13" max="13" width="20.109375" customWidth="1"/>
    <col min="14" max="14" width="19.44140625" bestFit="1" customWidth="1"/>
  </cols>
  <sheetData>
    <row r="1" spans="3:14" x14ac:dyDescent="0.3">
      <c r="C1" t="s">
        <v>0</v>
      </c>
      <c r="D1" t="s">
        <v>1</v>
      </c>
      <c r="E1" t="s">
        <v>2</v>
      </c>
      <c r="F1" t="s">
        <v>3</v>
      </c>
      <c r="G1" t="s">
        <v>4</v>
      </c>
      <c r="H1" t="s">
        <v>5</v>
      </c>
      <c r="I1" t="s">
        <v>512</v>
      </c>
      <c r="J1" t="s">
        <v>6</v>
      </c>
      <c r="K1" t="s">
        <v>7</v>
      </c>
      <c r="L1" t="s">
        <v>504</v>
      </c>
      <c r="M1" t="s">
        <v>513</v>
      </c>
      <c r="N1" t="s">
        <v>537</v>
      </c>
    </row>
    <row r="2" spans="3:14" x14ac:dyDescent="0.3">
      <c r="C2" t="s">
        <v>22</v>
      </c>
      <c r="D2" t="s">
        <v>23</v>
      </c>
      <c r="E2" t="s">
        <v>13</v>
      </c>
      <c r="F2" t="s">
        <v>24</v>
      </c>
      <c r="G2" s="1">
        <v>105468.7</v>
      </c>
      <c r="H2" s="4">
        <v>43445</v>
      </c>
      <c r="I2" s="4" t="str">
        <f>TEXT(H2,"mmm")</f>
        <v>Dec</v>
      </c>
      <c r="J2" s="3">
        <v>1</v>
      </c>
      <c r="K2" t="s">
        <v>12</v>
      </c>
      <c r="L2" t="s">
        <v>511</v>
      </c>
      <c r="M2" t="str">
        <f>IF(J2&lt;1,"part time","full time")</f>
        <v>full time</v>
      </c>
      <c r="N2" t="str">
        <f t="shared" ref="N2:N65" si="0">IF(UPPER(TRIM(F2&amp;""))="NULL","Missing","Available")</f>
        <v>Missing</v>
      </c>
    </row>
    <row r="3" spans="3:14" x14ac:dyDescent="0.3">
      <c r="C3" t="s">
        <v>123</v>
      </c>
      <c r="D3" t="s">
        <v>124</v>
      </c>
      <c r="E3" t="s">
        <v>10</v>
      </c>
      <c r="F3" t="s">
        <v>19</v>
      </c>
      <c r="G3" s="1">
        <v>88360.79</v>
      </c>
      <c r="H3" s="4">
        <v>43505</v>
      </c>
      <c r="I3" s="4" t="str">
        <f t="shared" ref="I3:I66" si="1">TEXT(H3,"mmm")</f>
        <v>Feb</v>
      </c>
      <c r="J3" s="3">
        <v>1</v>
      </c>
      <c r="K3" t="s">
        <v>12</v>
      </c>
      <c r="L3" t="s">
        <v>508</v>
      </c>
      <c r="M3" t="str">
        <f t="shared" ref="M3:M66" si="2">IF(J3&lt;1,"part time","full time")</f>
        <v>full time</v>
      </c>
      <c r="N3" t="str">
        <f t="shared" si="0"/>
        <v>Available</v>
      </c>
    </row>
    <row r="4" spans="3:14" x14ac:dyDescent="0.3">
      <c r="C4" t="s">
        <v>249</v>
      </c>
      <c r="D4" t="s">
        <v>250</v>
      </c>
      <c r="E4" t="s">
        <v>10</v>
      </c>
      <c r="F4" t="s">
        <v>25</v>
      </c>
      <c r="G4" s="1">
        <v>85879.23</v>
      </c>
      <c r="H4" s="4">
        <v>44168</v>
      </c>
      <c r="I4" s="4" t="str">
        <f t="shared" si="1"/>
        <v>Dec</v>
      </c>
      <c r="J4" s="3">
        <v>1</v>
      </c>
      <c r="K4" t="s">
        <v>12</v>
      </c>
      <c r="L4" t="s">
        <v>511</v>
      </c>
      <c r="M4" t="str">
        <f t="shared" si="2"/>
        <v>full time</v>
      </c>
      <c r="N4" t="str">
        <f t="shared" si="0"/>
        <v>Available</v>
      </c>
    </row>
    <row r="5" spans="3:14" x14ac:dyDescent="0.3">
      <c r="C5" t="s">
        <v>412</v>
      </c>
      <c r="D5" t="s">
        <v>413</v>
      </c>
      <c r="E5" t="s">
        <v>10</v>
      </c>
      <c r="F5" t="s">
        <v>11</v>
      </c>
      <c r="G5" s="1">
        <v>93128.34</v>
      </c>
      <c r="H5" s="4">
        <v>43164</v>
      </c>
      <c r="I5" s="4" t="str">
        <f t="shared" si="1"/>
        <v>Mar</v>
      </c>
      <c r="J5" s="3">
        <v>1</v>
      </c>
      <c r="K5" t="s">
        <v>335</v>
      </c>
      <c r="L5" t="s">
        <v>508</v>
      </c>
      <c r="M5" t="str">
        <f t="shared" si="2"/>
        <v>full time</v>
      </c>
      <c r="N5" t="str">
        <f t="shared" si="0"/>
        <v>Available</v>
      </c>
    </row>
    <row r="6" spans="3:14" x14ac:dyDescent="0.3">
      <c r="C6" t="s">
        <v>327</v>
      </c>
      <c r="D6" t="s">
        <v>328</v>
      </c>
      <c r="E6" t="s">
        <v>10</v>
      </c>
      <c r="F6" t="s">
        <v>11</v>
      </c>
      <c r="G6" s="1">
        <v>57002.02</v>
      </c>
      <c r="H6" s="4">
        <v>43135</v>
      </c>
      <c r="I6" s="4" t="str">
        <f t="shared" si="1"/>
        <v>Feb</v>
      </c>
      <c r="J6" s="3">
        <v>0.7</v>
      </c>
      <c r="K6" t="s">
        <v>12</v>
      </c>
      <c r="L6" t="s">
        <v>509</v>
      </c>
      <c r="M6" t="str">
        <f t="shared" si="2"/>
        <v>part time</v>
      </c>
      <c r="N6" t="str">
        <f t="shared" si="0"/>
        <v>Available</v>
      </c>
    </row>
    <row r="7" spans="3:14" x14ac:dyDescent="0.3">
      <c r="C7" t="s">
        <v>133</v>
      </c>
      <c r="D7" t="s">
        <v>134</v>
      </c>
      <c r="E7" t="s">
        <v>13</v>
      </c>
      <c r="F7" t="s">
        <v>16</v>
      </c>
      <c r="G7" s="1">
        <v>118976.16</v>
      </c>
      <c r="H7" s="4">
        <v>44120</v>
      </c>
      <c r="I7" s="4" t="str">
        <f t="shared" si="1"/>
        <v>Oct</v>
      </c>
      <c r="J7" s="3">
        <v>1</v>
      </c>
      <c r="K7" t="s">
        <v>12</v>
      </c>
      <c r="L7" t="s">
        <v>505</v>
      </c>
      <c r="M7" t="str">
        <f t="shared" si="2"/>
        <v>full time</v>
      </c>
      <c r="N7" t="str">
        <f t="shared" si="0"/>
        <v>Available</v>
      </c>
    </row>
    <row r="8" spans="3:14" x14ac:dyDescent="0.3">
      <c r="C8" t="s">
        <v>500</v>
      </c>
      <c r="D8" t="s">
        <v>501</v>
      </c>
      <c r="E8" t="s">
        <v>13</v>
      </c>
      <c r="F8" t="s">
        <v>38</v>
      </c>
      <c r="G8" s="1">
        <v>104802.63</v>
      </c>
      <c r="H8" s="4">
        <v>44238</v>
      </c>
      <c r="I8" s="4" t="str">
        <f t="shared" si="1"/>
        <v>Feb</v>
      </c>
      <c r="J8" s="3">
        <v>1</v>
      </c>
      <c r="K8" t="s">
        <v>12</v>
      </c>
      <c r="L8" t="s">
        <v>509</v>
      </c>
      <c r="M8" t="str">
        <f t="shared" si="2"/>
        <v>full time</v>
      </c>
      <c r="N8" t="str">
        <f t="shared" si="0"/>
        <v>Available</v>
      </c>
    </row>
    <row r="9" spans="3:14" x14ac:dyDescent="0.3">
      <c r="C9" t="s">
        <v>175</v>
      </c>
      <c r="D9" t="s">
        <v>176</v>
      </c>
      <c r="E9" t="s">
        <v>10</v>
      </c>
      <c r="F9" t="s">
        <v>32</v>
      </c>
      <c r="G9" s="1">
        <v>66017.179999999993</v>
      </c>
      <c r="H9" s="4">
        <v>43643</v>
      </c>
      <c r="I9" s="4" t="str">
        <f t="shared" si="1"/>
        <v>Jun</v>
      </c>
      <c r="J9" s="3">
        <v>0.9</v>
      </c>
      <c r="K9" t="s">
        <v>12</v>
      </c>
      <c r="L9" t="s">
        <v>511</v>
      </c>
      <c r="M9" t="str">
        <f t="shared" si="2"/>
        <v>part time</v>
      </c>
      <c r="N9" t="str">
        <f t="shared" si="0"/>
        <v>Available</v>
      </c>
    </row>
    <row r="10" spans="3:14" x14ac:dyDescent="0.3">
      <c r="C10" t="s">
        <v>145</v>
      </c>
      <c r="D10" t="s">
        <v>146</v>
      </c>
      <c r="E10" t="s">
        <v>13</v>
      </c>
      <c r="F10" t="s">
        <v>29</v>
      </c>
      <c r="G10" s="1">
        <v>74279.009999999995</v>
      </c>
      <c r="H10" s="4">
        <v>43466</v>
      </c>
      <c r="I10" s="4" t="str">
        <f t="shared" si="1"/>
        <v>Jan</v>
      </c>
      <c r="J10" s="3">
        <v>1</v>
      </c>
      <c r="K10" t="s">
        <v>12</v>
      </c>
      <c r="L10" t="s">
        <v>505</v>
      </c>
      <c r="M10" t="str">
        <f t="shared" si="2"/>
        <v>full time</v>
      </c>
      <c r="N10" t="str">
        <f t="shared" si="0"/>
        <v>Available</v>
      </c>
    </row>
    <row r="11" spans="3:14" x14ac:dyDescent="0.3">
      <c r="C11" t="s">
        <v>34</v>
      </c>
      <c r="D11" t="s">
        <v>35</v>
      </c>
      <c r="E11" t="s">
        <v>10</v>
      </c>
      <c r="F11" t="s">
        <v>19</v>
      </c>
      <c r="G11" s="1">
        <v>68980.52</v>
      </c>
      <c r="H11" s="4">
        <v>43494</v>
      </c>
      <c r="I11" s="4" t="str">
        <f t="shared" si="1"/>
        <v>Jan</v>
      </c>
      <c r="J11" s="3">
        <v>0.8</v>
      </c>
      <c r="K11" t="s">
        <v>12</v>
      </c>
      <c r="L11" t="s">
        <v>511</v>
      </c>
      <c r="M11" t="str">
        <f t="shared" si="2"/>
        <v>part time</v>
      </c>
      <c r="N11" t="str">
        <f t="shared" si="0"/>
        <v>Available</v>
      </c>
    </row>
    <row r="12" spans="3:14" x14ac:dyDescent="0.3">
      <c r="C12" t="s">
        <v>494</v>
      </c>
      <c r="D12" t="s">
        <v>495</v>
      </c>
      <c r="E12" t="s">
        <v>10</v>
      </c>
      <c r="F12" t="s">
        <v>25</v>
      </c>
      <c r="G12" s="1">
        <v>42314.39</v>
      </c>
      <c r="H12" s="4">
        <v>44487</v>
      </c>
      <c r="I12" s="4" t="str">
        <f t="shared" si="1"/>
        <v>Oct</v>
      </c>
      <c r="J12" s="3">
        <v>1</v>
      </c>
      <c r="K12" t="s">
        <v>335</v>
      </c>
      <c r="L12" t="s">
        <v>511</v>
      </c>
      <c r="M12" t="str">
        <f t="shared" si="2"/>
        <v>full time</v>
      </c>
      <c r="N12" t="str">
        <f t="shared" si="0"/>
        <v>Available</v>
      </c>
    </row>
    <row r="13" spans="3:14" x14ac:dyDescent="0.3">
      <c r="C13" t="s">
        <v>292</v>
      </c>
      <c r="D13" t="s">
        <v>293</v>
      </c>
      <c r="E13" t="s">
        <v>10</v>
      </c>
      <c r="F13" t="s">
        <v>16</v>
      </c>
      <c r="G13" s="1">
        <v>114425.19</v>
      </c>
      <c r="H13" s="4">
        <v>43857</v>
      </c>
      <c r="I13" s="4" t="str">
        <f t="shared" si="1"/>
        <v>Jan</v>
      </c>
      <c r="J13" s="3">
        <v>1</v>
      </c>
      <c r="K13" t="s">
        <v>12</v>
      </c>
      <c r="L13" t="s">
        <v>505</v>
      </c>
      <c r="M13" t="str">
        <f t="shared" si="2"/>
        <v>full time</v>
      </c>
      <c r="N13" t="str">
        <f t="shared" si="0"/>
        <v>Available</v>
      </c>
    </row>
    <row r="14" spans="3:14" x14ac:dyDescent="0.3">
      <c r="C14" t="s">
        <v>120</v>
      </c>
      <c r="D14" t="s">
        <v>121</v>
      </c>
      <c r="E14" t="s">
        <v>10</v>
      </c>
      <c r="F14" t="s">
        <v>19</v>
      </c>
      <c r="G14" s="1">
        <v>69192.850000000006</v>
      </c>
      <c r="H14" s="4">
        <v>44305</v>
      </c>
      <c r="I14" s="4" t="str">
        <f t="shared" si="1"/>
        <v>Apr</v>
      </c>
      <c r="J14" s="3">
        <v>1</v>
      </c>
      <c r="K14" t="s">
        <v>12</v>
      </c>
      <c r="L14" t="s">
        <v>507</v>
      </c>
      <c r="M14" t="str">
        <f t="shared" si="2"/>
        <v>full time</v>
      </c>
      <c r="N14" t="str">
        <f t="shared" si="0"/>
        <v>Available</v>
      </c>
    </row>
    <row r="15" spans="3:14" x14ac:dyDescent="0.3">
      <c r="C15" t="s">
        <v>429</v>
      </c>
      <c r="D15" t="s">
        <v>430</v>
      </c>
      <c r="E15" t="s">
        <v>13</v>
      </c>
      <c r="F15" t="s">
        <v>38</v>
      </c>
      <c r="G15" s="1">
        <v>61214.26</v>
      </c>
      <c r="H15" s="4">
        <v>43437</v>
      </c>
      <c r="I15" s="4" t="str">
        <f t="shared" si="1"/>
        <v>Dec</v>
      </c>
      <c r="J15" s="3">
        <v>1</v>
      </c>
      <c r="K15" t="s">
        <v>420</v>
      </c>
      <c r="L15" t="s">
        <v>506</v>
      </c>
      <c r="M15" t="str">
        <f t="shared" si="2"/>
        <v>full time</v>
      </c>
      <c r="N15" t="str">
        <f t="shared" si="0"/>
        <v>Available</v>
      </c>
    </row>
    <row r="16" spans="3:14" x14ac:dyDescent="0.3">
      <c r="C16" t="s">
        <v>147</v>
      </c>
      <c r="D16" t="s">
        <v>148</v>
      </c>
      <c r="E16" t="s">
        <v>13</v>
      </c>
      <c r="F16" t="s">
        <v>38</v>
      </c>
      <c r="G16" s="1">
        <v>54137.05</v>
      </c>
      <c r="H16" s="4">
        <v>43763</v>
      </c>
      <c r="I16" s="4" t="str">
        <f t="shared" si="1"/>
        <v>Oct</v>
      </c>
      <c r="J16" s="3">
        <v>1</v>
      </c>
      <c r="K16" t="s">
        <v>12</v>
      </c>
      <c r="L16" t="s">
        <v>511</v>
      </c>
      <c r="M16" t="str">
        <f t="shared" si="2"/>
        <v>full time</v>
      </c>
      <c r="N16" t="str">
        <f t="shared" si="0"/>
        <v>Available</v>
      </c>
    </row>
    <row r="17" spans="3:14" x14ac:dyDescent="0.3">
      <c r="C17" t="s">
        <v>265</v>
      </c>
      <c r="D17" t="s">
        <v>266</v>
      </c>
      <c r="E17" t="s">
        <v>10</v>
      </c>
      <c r="F17" t="s">
        <v>11</v>
      </c>
      <c r="G17" s="1">
        <v>37902.35</v>
      </c>
      <c r="H17" s="4">
        <v>43823</v>
      </c>
      <c r="I17" s="4" t="str">
        <f t="shared" si="1"/>
        <v>Dec</v>
      </c>
      <c r="J17" s="3">
        <v>1</v>
      </c>
      <c r="K17" t="s">
        <v>12</v>
      </c>
      <c r="L17" t="s">
        <v>510</v>
      </c>
      <c r="M17" t="str">
        <f t="shared" si="2"/>
        <v>full time</v>
      </c>
      <c r="N17" t="str">
        <f t="shared" si="0"/>
        <v>Available</v>
      </c>
    </row>
    <row r="18" spans="3:14" x14ac:dyDescent="0.3">
      <c r="C18" t="s">
        <v>435</v>
      </c>
      <c r="D18" t="s">
        <v>436</v>
      </c>
      <c r="E18" t="s">
        <v>13</v>
      </c>
      <c r="F18" t="s">
        <v>16</v>
      </c>
      <c r="G18" s="1">
        <v>39969.72</v>
      </c>
      <c r="H18" s="4">
        <v>43385</v>
      </c>
      <c r="I18" s="4" t="str">
        <f t="shared" si="1"/>
        <v>Oct</v>
      </c>
      <c r="J18" s="3">
        <v>1</v>
      </c>
      <c r="K18" t="s">
        <v>420</v>
      </c>
      <c r="L18" t="s">
        <v>507</v>
      </c>
      <c r="M18" t="str">
        <f t="shared" si="2"/>
        <v>full time</v>
      </c>
      <c r="N18" t="str">
        <f t="shared" si="0"/>
        <v>Available</v>
      </c>
    </row>
    <row r="19" spans="3:14" x14ac:dyDescent="0.3">
      <c r="C19" t="s">
        <v>245</v>
      </c>
      <c r="D19" t="s">
        <v>246</v>
      </c>
      <c r="E19" t="s">
        <v>13</v>
      </c>
      <c r="F19" t="s">
        <v>25</v>
      </c>
      <c r="G19" s="1">
        <v>69913.39</v>
      </c>
      <c r="H19" s="4">
        <v>43584</v>
      </c>
      <c r="I19" s="4" t="str">
        <f t="shared" si="1"/>
        <v>Apr</v>
      </c>
      <c r="J19" s="3">
        <v>1</v>
      </c>
      <c r="K19" t="s">
        <v>12</v>
      </c>
      <c r="L19" t="s">
        <v>511</v>
      </c>
      <c r="M19" t="str">
        <f t="shared" si="2"/>
        <v>full time</v>
      </c>
      <c r="N19" t="str">
        <f t="shared" si="0"/>
        <v>Available</v>
      </c>
    </row>
    <row r="20" spans="3:14" x14ac:dyDescent="0.3">
      <c r="C20" t="s">
        <v>275</v>
      </c>
      <c r="D20" t="s">
        <v>276</v>
      </c>
      <c r="E20" t="s">
        <v>13</v>
      </c>
      <c r="F20" t="s">
        <v>29</v>
      </c>
      <c r="G20" s="1">
        <v>52748.63</v>
      </c>
      <c r="H20" s="4">
        <v>43857</v>
      </c>
      <c r="I20" s="4" t="str">
        <f t="shared" si="1"/>
        <v>Jan</v>
      </c>
      <c r="J20" s="3">
        <v>1</v>
      </c>
      <c r="K20" t="s">
        <v>12</v>
      </c>
      <c r="L20" t="s">
        <v>510</v>
      </c>
      <c r="M20" t="str">
        <f t="shared" si="2"/>
        <v>full time</v>
      </c>
      <c r="N20" t="str">
        <f t="shared" si="0"/>
        <v>Available</v>
      </c>
    </row>
    <row r="21" spans="3:14" x14ac:dyDescent="0.3">
      <c r="C21" t="s">
        <v>46</v>
      </c>
      <c r="D21" t="s">
        <v>47</v>
      </c>
      <c r="E21" t="s">
        <v>13</v>
      </c>
      <c r="F21" t="s">
        <v>14</v>
      </c>
      <c r="G21" s="1">
        <v>50310.09</v>
      </c>
      <c r="H21" s="4">
        <v>44285</v>
      </c>
      <c r="I21" s="4" t="str">
        <f t="shared" si="1"/>
        <v>Mar</v>
      </c>
      <c r="J21" s="3">
        <v>0.4</v>
      </c>
      <c r="K21" t="s">
        <v>12</v>
      </c>
      <c r="L21" t="s">
        <v>509</v>
      </c>
      <c r="M21" t="str">
        <f t="shared" si="2"/>
        <v>part time</v>
      </c>
      <c r="N21" t="str">
        <f t="shared" si="0"/>
        <v>Available</v>
      </c>
    </row>
    <row r="22" spans="3:14" x14ac:dyDescent="0.3">
      <c r="C22" t="s">
        <v>44</v>
      </c>
      <c r="D22" t="s">
        <v>45</v>
      </c>
      <c r="E22" t="s">
        <v>13</v>
      </c>
      <c r="F22" t="s">
        <v>39</v>
      </c>
      <c r="G22" s="1">
        <v>52963.65</v>
      </c>
      <c r="H22" s="4">
        <v>44231</v>
      </c>
      <c r="I22" s="4" t="str">
        <f t="shared" si="1"/>
        <v>Feb</v>
      </c>
      <c r="J22" s="3">
        <v>0.3</v>
      </c>
      <c r="K22" t="s">
        <v>12</v>
      </c>
      <c r="L22" t="s">
        <v>507</v>
      </c>
      <c r="M22" t="str">
        <f t="shared" si="2"/>
        <v>part time</v>
      </c>
      <c r="N22" t="str">
        <f t="shared" si="0"/>
        <v>Available</v>
      </c>
    </row>
    <row r="23" spans="3:14" x14ac:dyDescent="0.3">
      <c r="C23" t="s">
        <v>103</v>
      </c>
      <c r="D23" t="s">
        <v>104</v>
      </c>
      <c r="E23" t="s">
        <v>13</v>
      </c>
      <c r="F23" t="s">
        <v>33</v>
      </c>
      <c r="G23" s="1">
        <v>62195.47</v>
      </c>
      <c r="H23" s="4">
        <v>44434</v>
      </c>
      <c r="I23" s="4" t="str">
        <f t="shared" si="1"/>
        <v>Aug</v>
      </c>
      <c r="J23" s="3">
        <v>1</v>
      </c>
      <c r="K23" t="s">
        <v>12</v>
      </c>
      <c r="L23" t="s">
        <v>511</v>
      </c>
      <c r="M23" t="str">
        <f t="shared" si="2"/>
        <v>full time</v>
      </c>
      <c r="N23" t="str">
        <f t="shared" si="0"/>
        <v>Available</v>
      </c>
    </row>
    <row r="24" spans="3:14" x14ac:dyDescent="0.3">
      <c r="C24" t="s">
        <v>347</v>
      </c>
      <c r="D24" t="s">
        <v>348</v>
      </c>
      <c r="E24" t="s">
        <v>13</v>
      </c>
      <c r="F24" t="s">
        <v>16</v>
      </c>
      <c r="G24" s="1">
        <v>43329.22</v>
      </c>
      <c r="H24" s="4">
        <v>43750</v>
      </c>
      <c r="I24" s="4" t="str">
        <f t="shared" si="1"/>
        <v>Oct</v>
      </c>
      <c r="J24" s="3">
        <v>0.5</v>
      </c>
      <c r="K24" t="s">
        <v>335</v>
      </c>
      <c r="L24" t="s">
        <v>511</v>
      </c>
      <c r="M24" t="str">
        <f t="shared" si="2"/>
        <v>part time</v>
      </c>
      <c r="N24" t="str">
        <f t="shared" si="0"/>
        <v>Available</v>
      </c>
    </row>
    <row r="25" spans="3:14" x14ac:dyDescent="0.3">
      <c r="C25" t="s">
        <v>284</v>
      </c>
      <c r="D25" t="s">
        <v>285</v>
      </c>
      <c r="E25" t="s">
        <v>10</v>
      </c>
      <c r="F25" t="s">
        <v>11</v>
      </c>
      <c r="G25" s="1">
        <v>71570.990000000005</v>
      </c>
      <c r="H25" s="4">
        <v>44249</v>
      </c>
      <c r="I25" s="4" t="str">
        <f t="shared" si="1"/>
        <v>Feb</v>
      </c>
      <c r="J25" s="3">
        <v>0.5</v>
      </c>
      <c r="K25" t="s">
        <v>12</v>
      </c>
      <c r="L25" t="s">
        <v>509</v>
      </c>
      <c r="M25" t="str">
        <f t="shared" si="2"/>
        <v>part time</v>
      </c>
      <c r="N25" t="str">
        <f t="shared" si="0"/>
        <v>Available</v>
      </c>
    </row>
    <row r="26" spans="3:14" x14ac:dyDescent="0.3">
      <c r="C26" t="s">
        <v>468</v>
      </c>
      <c r="D26" t="s">
        <v>469</v>
      </c>
      <c r="E26" t="s">
        <v>10</v>
      </c>
      <c r="F26" t="s">
        <v>11</v>
      </c>
      <c r="G26" s="1">
        <v>78840.23</v>
      </c>
      <c r="H26" s="4">
        <v>43633</v>
      </c>
      <c r="I26" s="4" t="str">
        <f t="shared" si="1"/>
        <v>Jun</v>
      </c>
      <c r="J26" s="3">
        <v>1</v>
      </c>
      <c r="K26" t="s">
        <v>420</v>
      </c>
      <c r="L26" t="s">
        <v>511</v>
      </c>
      <c r="M26" t="str">
        <f t="shared" si="2"/>
        <v>full time</v>
      </c>
      <c r="N26" t="str">
        <f t="shared" si="0"/>
        <v>Available</v>
      </c>
    </row>
    <row r="27" spans="3:14" x14ac:dyDescent="0.3">
      <c r="C27" t="s">
        <v>90</v>
      </c>
      <c r="D27" t="s">
        <v>91</v>
      </c>
      <c r="E27" t="s">
        <v>10</v>
      </c>
      <c r="F27" t="s">
        <v>14</v>
      </c>
      <c r="G27" s="1">
        <v>61994.76</v>
      </c>
      <c r="H27" s="4">
        <v>43794</v>
      </c>
      <c r="I27" s="4" t="str">
        <f t="shared" si="1"/>
        <v>Nov</v>
      </c>
      <c r="J27" s="3">
        <v>0.3</v>
      </c>
      <c r="K27" t="s">
        <v>12</v>
      </c>
      <c r="L27" t="s">
        <v>509</v>
      </c>
      <c r="M27" t="str">
        <f t="shared" si="2"/>
        <v>part time</v>
      </c>
      <c r="N27" t="str">
        <f t="shared" si="0"/>
        <v>Available</v>
      </c>
    </row>
    <row r="28" spans="3:14" x14ac:dyDescent="0.3">
      <c r="C28" t="s">
        <v>99</v>
      </c>
      <c r="D28" t="s">
        <v>100</v>
      </c>
      <c r="E28" t="s">
        <v>10</v>
      </c>
      <c r="F28" t="s">
        <v>25</v>
      </c>
      <c r="G28" s="1">
        <v>89690.38</v>
      </c>
      <c r="H28" s="4">
        <v>43206</v>
      </c>
      <c r="I28" s="4" t="str">
        <f t="shared" si="1"/>
        <v>Apr</v>
      </c>
      <c r="J28" s="3">
        <v>1</v>
      </c>
      <c r="K28" t="s">
        <v>12</v>
      </c>
      <c r="L28" t="s">
        <v>505</v>
      </c>
      <c r="M28" t="str">
        <f t="shared" si="2"/>
        <v>full time</v>
      </c>
      <c r="N28" t="str">
        <f t="shared" si="0"/>
        <v>Available</v>
      </c>
    </row>
    <row r="29" spans="3:14" x14ac:dyDescent="0.3">
      <c r="C29" t="s">
        <v>84</v>
      </c>
      <c r="D29" t="s">
        <v>85</v>
      </c>
      <c r="E29" t="s">
        <v>13</v>
      </c>
      <c r="F29" t="s">
        <v>15</v>
      </c>
      <c r="G29" s="1">
        <v>104335.03999999999</v>
      </c>
      <c r="H29" s="4">
        <v>43874</v>
      </c>
      <c r="I29" s="4" t="str">
        <f t="shared" si="1"/>
        <v>Feb</v>
      </c>
      <c r="J29" s="3">
        <v>1</v>
      </c>
      <c r="K29" t="s">
        <v>12</v>
      </c>
      <c r="L29" t="s">
        <v>507</v>
      </c>
      <c r="M29" t="str">
        <f t="shared" si="2"/>
        <v>full time</v>
      </c>
      <c r="N29" t="str">
        <f t="shared" si="0"/>
        <v>Available</v>
      </c>
    </row>
    <row r="30" spans="3:14" x14ac:dyDescent="0.3">
      <c r="C30" t="s">
        <v>458</v>
      </c>
      <c r="D30" t="s">
        <v>459</v>
      </c>
      <c r="E30" t="s">
        <v>13</v>
      </c>
      <c r="F30" t="s">
        <v>39</v>
      </c>
      <c r="G30" s="1">
        <v>52246.29</v>
      </c>
      <c r="H30" s="4">
        <v>43573</v>
      </c>
      <c r="I30" s="4" t="str">
        <f t="shared" si="1"/>
        <v>Apr</v>
      </c>
      <c r="J30" s="3">
        <v>1</v>
      </c>
      <c r="K30" t="s">
        <v>420</v>
      </c>
      <c r="L30" t="s">
        <v>505</v>
      </c>
      <c r="M30" t="str">
        <f t="shared" si="2"/>
        <v>full time</v>
      </c>
      <c r="N30" t="str">
        <f t="shared" si="0"/>
        <v>Available</v>
      </c>
    </row>
    <row r="31" spans="3:14" x14ac:dyDescent="0.3">
      <c r="C31" t="s">
        <v>159</v>
      </c>
      <c r="D31" t="s">
        <v>160</v>
      </c>
      <c r="E31" t="s">
        <v>13</v>
      </c>
      <c r="F31" t="s">
        <v>28</v>
      </c>
      <c r="G31" s="1">
        <v>90697.67</v>
      </c>
      <c r="H31" s="4">
        <v>44221</v>
      </c>
      <c r="I31" s="4" t="str">
        <f t="shared" si="1"/>
        <v>Jan</v>
      </c>
      <c r="J31" s="3">
        <v>0.8</v>
      </c>
      <c r="K31" t="s">
        <v>12</v>
      </c>
      <c r="L31" t="s">
        <v>508</v>
      </c>
      <c r="M31" t="str">
        <f t="shared" si="2"/>
        <v>part time</v>
      </c>
      <c r="N31" t="str">
        <f t="shared" si="0"/>
        <v>Available</v>
      </c>
    </row>
    <row r="32" spans="3:14" x14ac:dyDescent="0.3">
      <c r="C32" t="s">
        <v>200</v>
      </c>
      <c r="D32" t="s">
        <v>201</v>
      </c>
      <c r="E32" t="s">
        <v>13</v>
      </c>
      <c r="F32" t="s">
        <v>19</v>
      </c>
      <c r="G32" s="1">
        <v>90884.32</v>
      </c>
      <c r="H32" s="4">
        <v>43826</v>
      </c>
      <c r="I32" s="4" t="str">
        <f t="shared" si="1"/>
        <v>Dec</v>
      </c>
      <c r="J32" s="3">
        <v>1</v>
      </c>
      <c r="K32" t="s">
        <v>12</v>
      </c>
      <c r="L32" t="s">
        <v>507</v>
      </c>
      <c r="M32" t="str">
        <f t="shared" si="2"/>
        <v>full time</v>
      </c>
      <c r="N32" t="str">
        <f t="shared" si="0"/>
        <v>Available</v>
      </c>
    </row>
    <row r="33" spans="3:14" x14ac:dyDescent="0.3">
      <c r="C33" t="s">
        <v>482</v>
      </c>
      <c r="D33" t="s">
        <v>483</v>
      </c>
      <c r="E33" t="s">
        <v>13</v>
      </c>
      <c r="F33" t="s">
        <v>14</v>
      </c>
      <c r="G33" s="1">
        <v>76320.44</v>
      </c>
      <c r="H33" s="4">
        <v>44354</v>
      </c>
      <c r="I33" s="4" t="str">
        <f t="shared" si="1"/>
        <v>Jun</v>
      </c>
      <c r="J33" s="3">
        <v>0.8</v>
      </c>
      <c r="K33" t="s">
        <v>420</v>
      </c>
      <c r="L33" t="s">
        <v>511</v>
      </c>
      <c r="M33" t="str">
        <f t="shared" si="2"/>
        <v>part time</v>
      </c>
      <c r="N33" t="str">
        <f t="shared" si="0"/>
        <v>Available</v>
      </c>
    </row>
    <row r="34" spans="3:14" x14ac:dyDescent="0.3">
      <c r="C34" t="s">
        <v>448</v>
      </c>
      <c r="D34" t="s">
        <v>449</v>
      </c>
      <c r="E34" t="s">
        <v>13</v>
      </c>
      <c r="F34" t="s">
        <v>19</v>
      </c>
      <c r="G34" s="1">
        <v>73360.38</v>
      </c>
      <c r="H34" s="4">
        <v>43972</v>
      </c>
      <c r="I34" s="4" t="str">
        <f t="shared" si="1"/>
        <v>May</v>
      </c>
      <c r="J34" s="3">
        <v>1</v>
      </c>
      <c r="K34" t="s">
        <v>420</v>
      </c>
      <c r="L34" t="s">
        <v>511</v>
      </c>
      <c r="M34" t="str">
        <f t="shared" si="2"/>
        <v>full time</v>
      </c>
      <c r="N34" t="str">
        <f t="shared" si="0"/>
        <v>Available</v>
      </c>
    </row>
    <row r="35" spans="3:14" x14ac:dyDescent="0.3">
      <c r="C35" t="s">
        <v>68</v>
      </c>
      <c r="D35" t="s">
        <v>69</v>
      </c>
      <c r="E35" t="s">
        <v>13</v>
      </c>
      <c r="F35" t="s">
        <v>24</v>
      </c>
      <c r="G35" s="1">
        <f>MEDIAN(G1:G34)</f>
        <v>69913.39</v>
      </c>
      <c r="H35" s="4">
        <v>44055</v>
      </c>
      <c r="I35" s="4" t="str">
        <f t="shared" si="1"/>
        <v>Aug</v>
      </c>
      <c r="J35" s="3">
        <v>0.7</v>
      </c>
      <c r="K35" t="s">
        <v>12</v>
      </c>
      <c r="L35" t="s">
        <v>506</v>
      </c>
      <c r="M35" t="str">
        <f t="shared" si="2"/>
        <v>part time</v>
      </c>
      <c r="N35" t="str">
        <f t="shared" si="0"/>
        <v>Missing</v>
      </c>
    </row>
    <row r="36" spans="3:14" x14ac:dyDescent="0.3">
      <c r="C36" t="s">
        <v>64</v>
      </c>
      <c r="D36" t="s">
        <v>65</v>
      </c>
      <c r="E36" t="s">
        <v>10</v>
      </c>
      <c r="F36" t="s">
        <v>29</v>
      </c>
      <c r="G36" s="1">
        <v>50449.46</v>
      </c>
      <c r="H36" s="4">
        <v>43418</v>
      </c>
      <c r="I36" s="4" t="str">
        <f t="shared" si="1"/>
        <v>Nov</v>
      </c>
      <c r="J36" s="3">
        <v>0.8</v>
      </c>
      <c r="K36" t="s">
        <v>12</v>
      </c>
      <c r="L36" t="s">
        <v>506</v>
      </c>
      <c r="M36" t="str">
        <f t="shared" si="2"/>
        <v>part time</v>
      </c>
      <c r="N36" t="str">
        <f t="shared" si="0"/>
        <v>Available</v>
      </c>
    </row>
    <row r="37" spans="3:14" x14ac:dyDescent="0.3">
      <c r="C37" t="s">
        <v>423</v>
      </c>
      <c r="D37" t="s">
        <v>424</v>
      </c>
      <c r="E37" t="s">
        <v>13</v>
      </c>
      <c r="F37" t="s">
        <v>11</v>
      </c>
      <c r="G37" s="1">
        <v>53949.26</v>
      </c>
      <c r="H37" s="4">
        <v>43720</v>
      </c>
      <c r="I37" s="4" t="str">
        <f t="shared" si="1"/>
        <v>Sep</v>
      </c>
      <c r="J37" s="3">
        <v>1</v>
      </c>
      <c r="K37" t="s">
        <v>420</v>
      </c>
      <c r="L37" t="s">
        <v>507</v>
      </c>
      <c r="M37" t="str">
        <f t="shared" si="2"/>
        <v>full time</v>
      </c>
      <c r="N37" t="str">
        <f t="shared" si="0"/>
        <v>Available</v>
      </c>
    </row>
    <row r="38" spans="3:14" x14ac:dyDescent="0.3">
      <c r="C38" t="s">
        <v>165</v>
      </c>
      <c r="D38" t="s">
        <v>166</v>
      </c>
      <c r="E38" t="s">
        <v>13</v>
      </c>
      <c r="F38" t="s">
        <v>28</v>
      </c>
      <c r="G38" s="1">
        <v>113616.23</v>
      </c>
      <c r="H38" s="4">
        <v>43196</v>
      </c>
      <c r="I38" s="4" t="str">
        <f t="shared" si="1"/>
        <v>Apr</v>
      </c>
      <c r="J38" s="3">
        <v>1</v>
      </c>
      <c r="K38" t="s">
        <v>12</v>
      </c>
      <c r="L38" t="s">
        <v>511</v>
      </c>
      <c r="M38" t="str">
        <f t="shared" si="2"/>
        <v>full time</v>
      </c>
      <c r="N38" t="str">
        <f t="shared" si="0"/>
        <v>Available</v>
      </c>
    </row>
    <row r="39" spans="3:14" x14ac:dyDescent="0.3">
      <c r="C39" t="s">
        <v>484</v>
      </c>
      <c r="D39" t="s">
        <v>485</v>
      </c>
      <c r="E39" t="s">
        <v>10</v>
      </c>
      <c r="F39" t="s">
        <v>15</v>
      </c>
      <c r="G39" s="1">
        <v>110906.35</v>
      </c>
      <c r="H39" s="4">
        <v>43434</v>
      </c>
      <c r="I39" s="4" t="str">
        <f t="shared" si="1"/>
        <v>Nov</v>
      </c>
      <c r="J39" s="3">
        <v>1</v>
      </c>
      <c r="K39" t="s">
        <v>420</v>
      </c>
      <c r="L39" t="s">
        <v>505</v>
      </c>
      <c r="M39" t="str">
        <f t="shared" si="2"/>
        <v>full time</v>
      </c>
      <c r="N39" t="str">
        <f t="shared" si="0"/>
        <v>Available</v>
      </c>
    </row>
    <row r="40" spans="3:14" x14ac:dyDescent="0.3">
      <c r="C40" t="s">
        <v>362</v>
      </c>
      <c r="D40" t="s">
        <v>363</v>
      </c>
      <c r="E40" t="s">
        <v>10</v>
      </c>
      <c r="F40" t="s">
        <v>38</v>
      </c>
      <c r="G40" s="1">
        <v>100371.31</v>
      </c>
      <c r="H40" s="4">
        <v>44067</v>
      </c>
      <c r="I40" s="4" t="str">
        <f t="shared" si="1"/>
        <v>Aug</v>
      </c>
      <c r="J40" s="3">
        <v>0.8</v>
      </c>
      <c r="K40" t="s">
        <v>335</v>
      </c>
      <c r="L40" t="s">
        <v>506</v>
      </c>
      <c r="M40" t="str">
        <f t="shared" si="2"/>
        <v>part time</v>
      </c>
      <c r="N40" t="str">
        <f t="shared" si="0"/>
        <v>Available</v>
      </c>
    </row>
    <row r="41" spans="3:14" x14ac:dyDescent="0.3">
      <c r="C41" t="s">
        <v>321</v>
      </c>
      <c r="D41" t="s">
        <v>322</v>
      </c>
      <c r="E41" t="s">
        <v>10</v>
      </c>
      <c r="F41" t="s">
        <v>39</v>
      </c>
      <c r="G41" s="1">
        <v>69163.39</v>
      </c>
      <c r="H41" s="4">
        <v>43397</v>
      </c>
      <c r="I41" s="4" t="str">
        <f t="shared" si="1"/>
        <v>Oct</v>
      </c>
      <c r="J41" s="3">
        <v>1</v>
      </c>
      <c r="K41" t="s">
        <v>12</v>
      </c>
      <c r="L41" t="s">
        <v>511</v>
      </c>
      <c r="M41" t="str">
        <f t="shared" si="2"/>
        <v>full time</v>
      </c>
      <c r="N41" t="str">
        <f t="shared" si="0"/>
        <v>Available</v>
      </c>
    </row>
    <row r="42" spans="3:14" x14ac:dyDescent="0.3">
      <c r="C42" t="s">
        <v>438</v>
      </c>
      <c r="D42" t="s">
        <v>439</v>
      </c>
      <c r="E42" t="s">
        <v>13</v>
      </c>
      <c r="F42" t="s">
        <v>11</v>
      </c>
      <c r="G42" s="1">
        <v>114691.03</v>
      </c>
      <c r="H42" s="4">
        <v>44039</v>
      </c>
      <c r="I42" s="4" t="str">
        <f t="shared" si="1"/>
        <v>Jul</v>
      </c>
      <c r="J42" s="3">
        <v>1</v>
      </c>
      <c r="K42" t="s">
        <v>420</v>
      </c>
      <c r="L42" t="s">
        <v>505</v>
      </c>
      <c r="M42" t="str">
        <f t="shared" si="2"/>
        <v>full time</v>
      </c>
      <c r="N42" t="str">
        <f t="shared" si="0"/>
        <v>Available</v>
      </c>
    </row>
    <row r="43" spans="3:14" x14ac:dyDescent="0.3">
      <c r="C43" t="s">
        <v>155</v>
      </c>
      <c r="D43" t="s">
        <v>156</v>
      </c>
      <c r="E43" t="s">
        <v>13</v>
      </c>
      <c r="F43" t="s">
        <v>14</v>
      </c>
      <c r="G43" s="1">
        <v>86556.96</v>
      </c>
      <c r="H43" s="4">
        <v>44104</v>
      </c>
      <c r="I43" s="4" t="str">
        <f t="shared" si="1"/>
        <v>Sep</v>
      </c>
      <c r="J43" s="3">
        <v>1</v>
      </c>
      <c r="K43" t="s">
        <v>12</v>
      </c>
      <c r="L43" t="s">
        <v>509</v>
      </c>
      <c r="M43" t="str">
        <f t="shared" si="2"/>
        <v>full time</v>
      </c>
      <c r="N43" t="str">
        <f t="shared" si="0"/>
        <v>Available</v>
      </c>
    </row>
    <row r="44" spans="3:14" x14ac:dyDescent="0.3">
      <c r="C44" t="s">
        <v>408</v>
      </c>
      <c r="D44" t="s">
        <v>409</v>
      </c>
      <c r="E44" t="s">
        <v>10</v>
      </c>
      <c r="F44" t="s">
        <v>25</v>
      </c>
      <c r="G44" s="1">
        <v>31172.77</v>
      </c>
      <c r="H44" s="4">
        <v>43665</v>
      </c>
      <c r="I44" s="4" t="str">
        <f t="shared" si="1"/>
        <v>Jul</v>
      </c>
      <c r="J44" s="3">
        <v>1</v>
      </c>
      <c r="K44" t="s">
        <v>335</v>
      </c>
      <c r="L44" t="s">
        <v>511</v>
      </c>
      <c r="M44" t="str">
        <f t="shared" si="2"/>
        <v>full time</v>
      </c>
      <c r="N44" t="str">
        <f t="shared" si="0"/>
        <v>Available</v>
      </c>
    </row>
    <row r="45" spans="3:14" x14ac:dyDescent="0.3">
      <c r="C45" t="s">
        <v>307</v>
      </c>
      <c r="D45" t="s">
        <v>308</v>
      </c>
      <c r="E45" t="s">
        <v>13</v>
      </c>
      <c r="F45" t="s">
        <v>19</v>
      </c>
      <c r="G45" s="1">
        <v>80169.42</v>
      </c>
      <c r="H45" s="4">
        <v>44112</v>
      </c>
      <c r="I45" s="4" t="str">
        <f t="shared" si="1"/>
        <v>Oct</v>
      </c>
      <c r="J45" s="3">
        <v>1</v>
      </c>
      <c r="K45" t="s">
        <v>12</v>
      </c>
      <c r="L45" t="s">
        <v>506</v>
      </c>
      <c r="M45" t="str">
        <f t="shared" si="2"/>
        <v>full time</v>
      </c>
      <c r="N45" t="str">
        <f t="shared" si="0"/>
        <v>Available</v>
      </c>
    </row>
    <row r="46" spans="3:14" x14ac:dyDescent="0.3">
      <c r="C46" t="s">
        <v>460</v>
      </c>
      <c r="D46" t="s">
        <v>461</v>
      </c>
      <c r="E46" t="s">
        <v>10</v>
      </c>
      <c r="F46" t="s">
        <v>38</v>
      </c>
      <c r="G46" s="1">
        <v>58935.92</v>
      </c>
      <c r="H46" s="4">
        <v>43717</v>
      </c>
      <c r="I46" s="4" t="str">
        <f t="shared" si="1"/>
        <v>Sep</v>
      </c>
      <c r="J46" s="3">
        <v>1</v>
      </c>
      <c r="K46" t="s">
        <v>420</v>
      </c>
      <c r="L46" t="s">
        <v>509</v>
      </c>
      <c r="M46" t="str">
        <f t="shared" si="2"/>
        <v>full time</v>
      </c>
      <c r="N46" t="str">
        <f t="shared" si="0"/>
        <v>Available</v>
      </c>
    </row>
    <row r="47" spans="3:14" x14ac:dyDescent="0.3">
      <c r="C47" t="s">
        <v>267</v>
      </c>
      <c r="D47" t="s">
        <v>268</v>
      </c>
      <c r="E47" t="s">
        <v>10</v>
      </c>
      <c r="F47" t="s">
        <v>38</v>
      </c>
      <c r="G47" s="1">
        <v>63555.73</v>
      </c>
      <c r="H47" s="4">
        <v>44159</v>
      </c>
      <c r="I47" s="4" t="str">
        <f t="shared" si="1"/>
        <v>Nov</v>
      </c>
      <c r="J47" s="3">
        <v>1</v>
      </c>
      <c r="K47" t="s">
        <v>12</v>
      </c>
      <c r="L47" t="s">
        <v>510</v>
      </c>
      <c r="M47" t="str">
        <f t="shared" si="2"/>
        <v>full time</v>
      </c>
      <c r="N47" t="str">
        <f t="shared" si="0"/>
        <v>Available</v>
      </c>
    </row>
    <row r="48" spans="3:14" x14ac:dyDescent="0.3">
      <c r="C48" t="s">
        <v>393</v>
      </c>
      <c r="D48" t="s">
        <v>394</v>
      </c>
      <c r="E48" t="s">
        <v>13</v>
      </c>
      <c r="F48" t="s">
        <v>39</v>
      </c>
      <c r="G48" s="1">
        <v>57419.35</v>
      </c>
      <c r="H48" s="4">
        <v>43305</v>
      </c>
      <c r="I48" s="4" t="str">
        <f t="shared" si="1"/>
        <v>Jul</v>
      </c>
      <c r="J48" s="3">
        <v>1</v>
      </c>
      <c r="K48" t="s">
        <v>335</v>
      </c>
      <c r="L48" t="s">
        <v>506</v>
      </c>
      <c r="M48" t="str">
        <f t="shared" si="2"/>
        <v>full time</v>
      </c>
      <c r="N48" t="str">
        <f t="shared" si="0"/>
        <v>Available</v>
      </c>
    </row>
    <row r="49" spans="3:14" x14ac:dyDescent="0.3">
      <c r="C49" t="s">
        <v>340</v>
      </c>
      <c r="D49" t="s">
        <v>341</v>
      </c>
      <c r="E49" t="s">
        <v>10</v>
      </c>
      <c r="F49" t="s">
        <v>15</v>
      </c>
      <c r="G49" s="1">
        <v>67818.14</v>
      </c>
      <c r="H49" s="4">
        <v>43406</v>
      </c>
      <c r="I49" s="4" t="str">
        <f t="shared" si="1"/>
        <v>Nov</v>
      </c>
      <c r="J49" s="3">
        <v>0.6</v>
      </c>
      <c r="K49" t="s">
        <v>335</v>
      </c>
      <c r="L49" t="s">
        <v>511</v>
      </c>
      <c r="M49" t="str">
        <f t="shared" si="2"/>
        <v>part time</v>
      </c>
      <c r="N49" t="str">
        <f t="shared" si="0"/>
        <v>Available</v>
      </c>
    </row>
    <row r="50" spans="3:14" x14ac:dyDescent="0.3">
      <c r="C50" t="s">
        <v>161</v>
      </c>
      <c r="D50" t="s">
        <v>162</v>
      </c>
      <c r="E50" t="s">
        <v>10</v>
      </c>
      <c r="F50" t="s">
        <v>24</v>
      </c>
      <c r="G50" s="1">
        <v>44403.77</v>
      </c>
      <c r="H50" s="4">
        <v>43445</v>
      </c>
      <c r="I50" s="4" t="str">
        <f t="shared" si="1"/>
        <v>Dec</v>
      </c>
      <c r="J50" s="3">
        <v>1</v>
      </c>
      <c r="K50" t="s">
        <v>12</v>
      </c>
      <c r="L50" t="s">
        <v>509</v>
      </c>
      <c r="M50" t="str">
        <f t="shared" si="2"/>
        <v>full time</v>
      </c>
      <c r="N50" t="str">
        <f t="shared" si="0"/>
        <v>Missing</v>
      </c>
    </row>
    <row r="51" spans="3:14" x14ac:dyDescent="0.3">
      <c r="C51" t="s">
        <v>139</v>
      </c>
      <c r="D51" t="s">
        <v>140</v>
      </c>
      <c r="E51" t="s">
        <v>13</v>
      </c>
      <c r="F51" t="s">
        <v>32</v>
      </c>
      <c r="G51" s="1">
        <v>40753.54</v>
      </c>
      <c r="H51" s="4">
        <v>43152</v>
      </c>
      <c r="I51" s="4" t="str">
        <f t="shared" si="1"/>
        <v>Feb</v>
      </c>
      <c r="J51" s="3">
        <v>0.6</v>
      </c>
      <c r="K51" t="s">
        <v>12</v>
      </c>
      <c r="L51" t="s">
        <v>505</v>
      </c>
      <c r="M51" t="str">
        <f t="shared" si="2"/>
        <v>part time</v>
      </c>
      <c r="N51" t="str">
        <f t="shared" si="0"/>
        <v>Available</v>
      </c>
    </row>
    <row r="52" spans="3:14" x14ac:dyDescent="0.3">
      <c r="C52" t="s">
        <v>80</v>
      </c>
      <c r="D52" t="s">
        <v>81</v>
      </c>
      <c r="E52" t="s">
        <v>10</v>
      </c>
      <c r="F52" t="s">
        <v>11</v>
      </c>
      <c r="G52" s="1">
        <v>102934.09</v>
      </c>
      <c r="H52" s="4">
        <v>44315</v>
      </c>
      <c r="I52" s="4" t="str">
        <f t="shared" si="1"/>
        <v>Apr</v>
      </c>
      <c r="J52" s="3">
        <v>1</v>
      </c>
      <c r="K52" t="s">
        <v>12</v>
      </c>
      <c r="L52" t="s">
        <v>509</v>
      </c>
      <c r="M52" t="str">
        <f t="shared" si="2"/>
        <v>full time</v>
      </c>
      <c r="N52" t="str">
        <f t="shared" si="0"/>
        <v>Available</v>
      </c>
    </row>
    <row r="53" spans="3:14" x14ac:dyDescent="0.3">
      <c r="C53" t="s">
        <v>167</v>
      </c>
      <c r="D53" t="s">
        <v>168</v>
      </c>
      <c r="E53" t="s">
        <v>13</v>
      </c>
      <c r="F53" t="s">
        <v>33</v>
      </c>
      <c r="G53" s="1">
        <v>68860.399999999994</v>
      </c>
      <c r="H53" s="4">
        <v>43801</v>
      </c>
      <c r="I53" s="4" t="str">
        <f t="shared" si="1"/>
        <v>Dec</v>
      </c>
      <c r="J53" s="3">
        <v>0.4</v>
      </c>
      <c r="K53" t="s">
        <v>12</v>
      </c>
      <c r="L53" t="s">
        <v>507</v>
      </c>
      <c r="M53" t="str">
        <f t="shared" si="2"/>
        <v>part time</v>
      </c>
      <c r="N53" t="str">
        <f t="shared" si="0"/>
        <v>Available</v>
      </c>
    </row>
    <row r="54" spans="3:14" x14ac:dyDescent="0.3">
      <c r="C54" t="s">
        <v>342</v>
      </c>
      <c r="D54" t="s">
        <v>343</v>
      </c>
      <c r="E54" t="s">
        <v>13</v>
      </c>
      <c r="F54" t="s">
        <v>11</v>
      </c>
      <c r="G54" s="1">
        <v>79567.69</v>
      </c>
      <c r="H54" s="4">
        <v>43272</v>
      </c>
      <c r="I54" s="4" t="str">
        <f t="shared" si="1"/>
        <v>Jun</v>
      </c>
      <c r="J54" s="3">
        <v>1</v>
      </c>
      <c r="K54" t="s">
        <v>335</v>
      </c>
      <c r="L54" t="s">
        <v>510</v>
      </c>
      <c r="M54" t="str">
        <f t="shared" si="2"/>
        <v>full time</v>
      </c>
      <c r="N54" t="str">
        <f t="shared" si="0"/>
        <v>Available</v>
      </c>
    </row>
    <row r="55" spans="3:14" x14ac:dyDescent="0.3">
      <c r="C55" t="s">
        <v>109</v>
      </c>
      <c r="D55" t="s">
        <v>110</v>
      </c>
      <c r="E55" t="s">
        <v>10</v>
      </c>
      <c r="F55" t="s">
        <v>14</v>
      </c>
      <c r="G55" s="1">
        <v>35943.620000000003</v>
      </c>
      <c r="H55" s="4">
        <v>43930</v>
      </c>
      <c r="I55" s="4" t="str">
        <f t="shared" si="1"/>
        <v>Apr</v>
      </c>
      <c r="J55" s="3">
        <v>1</v>
      </c>
      <c r="K55" t="s">
        <v>12</v>
      </c>
      <c r="L55" t="s">
        <v>507</v>
      </c>
      <c r="M55" t="str">
        <f t="shared" si="2"/>
        <v>full time</v>
      </c>
      <c r="N55" t="str">
        <f t="shared" si="0"/>
        <v>Available</v>
      </c>
    </row>
    <row r="56" spans="3:14" x14ac:dyDescent="0.3">
      <c r="C56" t="s">
        <v>466</v>
      </c>
      <c r="D56" t="s">
        <v>467</v>
      </c>
      <c r="E56" t="s">
        <v>10</v>
      </c>
      <c r="F56" t="s">
        <v>11</v>
      </c>
      <c r="G56" s="1">
        <v>116767.63</v>
      </c>
      <c r="H56" s="4">
        <v>43949</v>
      </c>
      <c r="I56" s="4" t="str">
        <f t="shared" si="1"/>
        <v>Apr</v>
      </c>
      <c r="J56" s="3">
        <v>0.4</v>
      </c>
      <c r="K56" t="s">
        <v>420</v>
      </c>
      <c r="L56" t="s">
        <v>510</v>
      </c>
      <c r="M56" t="str">
        <f t="shared" si="2"/>
        <v>part time</v>
      </c>
      <c r="N56" t="str">
        <f t="shared" si="0"/>
        <v>Available</v>
      </c>
    </row>
    <row r="57" spans="3:14" x14ac:dyDescent="0.3">
      <c r="C57" t="s">
        <v>191</v>
      </c>
      <c r="D57" t="s">
        <v>192</v>
      </c>
      <c r="E57" t="s">
        <v>13</v>
      </c>
      <c r="F57" t="s">
        <v>29</v>
      </c>
      <c r="G57" s="1">
        <v>85455.53</v>
      </c>
      <c r="H57" s="4">
        <v>44075</v>
      </c>
      <c r="I57" s="4" t="str">
        <f t="shared" si="1"/>
        <v>Sep</v>
      </c>
      <c r="J57" s="3">
        <v>1</v>
      </c>
      <c r="K57" t="s">
        <v>12</v>
      </c>
      <c r="L57" t="s">
        <v>505</v>
      </c>
      <c r="M57" t="str">
        <f t="shared" si="2"/>
        <v>full time</v>
      </c>
      <c r="N57" t="str">
        <f t="shared" si="0"/>
        <v>Available</v>
      </c>
    </row>
    <row r="58" spans="3:14" x14ac:dyDescent="0.3">
      <c r="C58" t="s">
        <v>333</v>
      </c>
      <c r="D58" t="s">
        <v>334</v>
      </c>
      <c r="E58" t="s">
        <v>10</v>
      </c>
      <c r="F58" t="s">
        <v>29</v>
      </c>
      <c r="G58" s="1">
        <v>39700.82</v>
      </c>
      <c r="H58" s="4">
        <v>44378</v>
      </c>
      <c r="I58" s="4" t="str">
        <f t="shared" si="1"/>
        <v>Jul</v>
      </c>
      <c r="J58" s="3">
        <v>0.8</v>
      </c>
      <c r="K58" t="s">
        <v>12</v>
      </c>
      <c r="L58" t="s">
        <v>510</v>
      </c>
      <c r="M58" t="str">
        <f t="shared" si="2"/>
        <v>part time</v>
      </c>
      <c r="N58" t="str">
        <f t="shared" si="0"/>
        <v>Available</v>
      </c>
    </row>
    <row r="59" spans="3:14" x14ac:dyDescent="0.3">
      <c r="C59" t="s">
        <v>150</v>
      </c>
      <c r="D59" t="s">
        <v>96</v>
      </c>
      <c r="E59" t="s">
        <v>10</v>
      </c>
      <c r="F59" t="s">
        <v>15</v>
      </c>
      <c r="G59" s="1">
        <v>38438.239999999998</v>
      </c>
      <c r="H59" s="4">
        <v>43962</v>
      </c>
      <c r="I59" s="4" t="str">
        <f t="shared" si="1"/>
        <v>May</v>
      </c>
      <c r="J59" s="3">
        <v>1</v>
      </c>
      <c r="K59" t="s">
        <v>12</v>
      </c>
      <c r="L59" t="s">
        <v>510</v>
      </c>
      <c r="M59" t="str">
        <f t="shared" si="2"/>
        <v>full time</v>
      </c>
      <c r="N59" t="str">
        <f t="shared" si="0"/>
        <v>Available</v>
      </c>
    </row>
    <row r="60" spans="3:14" x14ac:dyDescent="0.3">
      <c r="C60" t="s">
        <v>198</v>
      </c>
      <c r="D60" t="s">
        <v>199</v>
      </c>
      <c r="E60" t="s">
        <v>13</v>
      </c>
      <c r="F60" t="s">
        <v>16</v>
      </c>
      <c r="G60" s="1">
        <v>50855.53</v>
      </c>
      <c r="H60" s="4">
        <v>44221</v>
      </c>
      <c r="I60" s="4" t="str">
        <f t="shared" si="1"/>
        <v>Jan</v>
      </c>
      <c r="J60" s="3">
        <v>1</v>
      </c>
      <c r="K60" t="s">
        <v>12</v>
      </c>
      <c r="L60" t="s">
        <v>505</v>
      </c>
      <c r="M60" t="str">
        <f t="shared" si="2"/>
        <v>full time</v>
      </c>
      <c r="N60" t="str">
        <f t="shared" si="0"/>
        <v>Available</v>
      </c>
    </row>
    <row r="61" spans="3:14" x14ac:dyDescent="0.3">
      <c r="C61" t="s">
        <v>323</v>
      </c>
      <c r="D61" t="s">
        <v>324</v>
      </c>
      <c r="E61" t="s">
        <v>13</v>
      </c>
      <c r="F61" t="s">
        <v>38</v>
      </c>
      <c r="G61" s="1">
        <f>MEDIAN(G44:G60)</f>
        <v>58935.92</v>
      </c>
      <c r="H61" s="4">
        <v>43724</v>
      </c>
      <c r="I61" s="4" t="str">
        <f t="shared" si="1"/>
        <v>Sep</v>
      </c>
      <c r="J61" s="3">
        <v>0.2</v>
      </c>
      <c r="K61" t="s">
        <v>12</v>
      </c>
      <c r="L61" t="s">
        <v>506</v>
      </c>
      <c r="M61" t="str">
        <f t="shared" si="2"/>
        <v>part time</v>
      </c>
      <c r="N61" t="str">
        <f t="shared" si="0"/>
        <v>Available</v>
      </c>
    </row>
    <row r="62" spans="3:14" x14ac:dyDescent="0.3">
      <c r="C62" t="s">
        <v>92</v>
      </c>
      <c r="D62" t="s">
        <v>93</v>
      </c>
      <c r="E62" t="s">
        <v>13</v>
      </c>
      <c r="F62" t="s">
        <v>32</v>
      </c>
      <c r="G62" s="1">
        <v>37362.300000000003</v>
      </c>
      <c r="H62" s="4">
        <v>43642</v>
      </c>
      <c r="I62" s="4" t="str">
        <f t="shared" si="1"/>
        <v>Jun</v>
      </c>
      <c r="J62" s="3">
        <v>1</v>
      </c>
      <c r="K62" t="s">
        <v>12</v>
      </c>
      <c r="L62" t="s">
        <v>506</v>
      </c>
      <c r="M62" t="str">
        <f t="shared" si="2"/>
        <v>full time</v>
      </c>
      <c r="N62" t="str">
        <f t="shared" si="0"/>
        <v>Available</v>
      </c>
    </row>
    <row r="63" spans="3:14" x14ac:dyDescent="0.3">
      <c r="C63" t="s">
        <v>344</v>
      </c>
      <c r="D63" t="s">
        <v>106</v>
      </c>
      <c r="E63" t="s">
        <v>13</v>
      </c>
      <c r="F63" t="s">
        <v>14</v>
      </c>
      <c r="G63" s="1">
        <v>72876.91</v>
      </c>
      <c r="H63" s="4">
        <v>43612</v>
      </c>
      <c r="I63" s="4" t="str">
        <f t="shared" si="1"/>
        <v>May</v>
      </c>
      <c r="J63" s="3">
        <v>0.4</v>
      </c>
      <c r="K63" t="s">
        <v>335</v>
      </c>
      <c r="L63" t="s">
        <v>506</v>
      </c>
      <c r="M63" t="str">
        <f t="shared" si="2"/>
        <v>part time</v>
      </c>
      <c r="N63" t="str">
        <f t="shared" si="0"/>
        <v>Available</v>
      </c>
    </row>
    <row r="64" spans="3:14" x14ac:dyDescent="0.3">
      <c r="C64" t="s">
        <v>492</v>
      </c>
      <c r="D64" t="s">
        <v>493</v>
      </c>
      <c r="E64" t="s">
        <v>10</v>
      </c>
      <c r="F64" t="s">
        <v>28</v>
      </c>
      <c r="G64" s="1">
        <v>31042.51</v>
      </c>
      <c r="H64" s="4">
        <v>44296</v>
      </c>
      <c r="I64" s="4" t="str">
        <f t="shared" si="1"/>
        <v>Apr</v>
      </c>
      <c r="J64" s="3">
        <v>0.3</v>
      </c>
      <c r="K64" t="s">
        <v>335</v>
      </c>
      <c r="L64" t="s">
        <v>511</v>
      </c>
      <c r="M64" t="str">
        <f t="shared" si="2"/>
        <v>part time</v>
      </c>
      <c r="N64" t="str">
        <f t="shared" si="0"/>
        <v>Available</v>
      </c>
    </row>
    <row r="65" spans="3:14" x14ac:dyDescent="0.3">
      <c r="C65" t="s">
        <v>36</v>
      </c>
      <c r="D65" t="s">
        <v>37</v>
      </c>
      <c r="E65" t="s">
        <v>10</v>
      </c>
      <c r="F65" t="s">
        <v>28</v>
      </c>
      <c r="G65" s="1">
        <v>63705.4</v>
      </c>
      <c r="H65" s="4">
        <v>43593</v>
      </c>
      <c r="I65" s="4" t="str">
        <f t="shared" si="1"/>
        <v>May</v>
      </c>
      <c r="J65" s="3">
        <v>1</v>
      </c>
      <c r="K65" t="s">
        <v>12</v>
      </c>
      <c r="L65" t="s">
        <v>509</v>
      </c>
      <c r="M65" t="str">
        <f t="shared" si="2"/>
        <v>full time</v>
      </c>
      <c r="N65" t="str">
        <f t="shared" si="0"/>
        <v>Available</v>
      </c>
    </row>
    <row r="66" spans="3:14" x14ac:dyDescent="0.3">
      <c r="C66" t="s">
        <v>421</v>
      </c>
      <c r="D66" t="s">
        <v>422</v>
      </c>
      <c r="E66" t="s">
        <v>10</v>
      </c>
      <c r="F66" t="s">
        <v>29</v>
      </c>
      <c r="G66" s="1">
        <v>59434.18</v>
      </c>
      <c r="H66" s="4">
        <v>44108</v>
      </c>
      <c r="I66" s="4" t="str">
        <f t="shared" si="1"/>
        <v>Oct</v>
      </c>
      <c r="J66" s="3">
        <v>1</v>
      </c>
      <c r="K66" t="s">
        <v>420</v>
      </c>
      <c r="L66" t="s">
        <v>508</v>
      </c>
      <c r="M66" t="str">
        <f t="shared" si="2"/>
        <v>full time</v>
      </c>
      <c r="N66" t="str">
        <f t="shared" ref="N66:N129" si="3">IF(UPPER(TRIM(F66&amp;""))="NULL","Missing","Available")</f>
        <v>Available</v>
      </c>
    </row>
    <row r="67" spans="3:14" x14ac:dyDescent="0.3">
      <c r="C67" t="s">
        <v>331</v>
      </c>
      <c r="D67" t="s">
        <v>332</v>
      </c>
      <c r="E67" t="s">
        <v>10</v>
      </c>
      <c r="F67" t="s">
        <v>33</v>
      </c>
      <c r="G67" s="1">
        <v>84762.76</v>
      </c>
      <c r="H67" s="4">
        <v>43332</v>
      </c>
      <c r="I67" s="4" t="str">
        <f t="shared" ref="I67:I130" si="4">TEXT(H67,"mmm")</f>
        <v>Aug</v>
      </c>
      <c r="J67" s="3">
        <v>1</v>
      </c>
      <c r="K67" t="s">
        <v>12</v>
      </c>
      <c r="L67" t="s">
        <v>509</v>
      </c>
      <c r="M67" t="str">
        <f t="shared" ref="M67:M130" si="5">IF(J67&lt;1,"part time","full time")</f>
        <v>full time</v>
      </c>
      <c r="N67" t="str">
        <f t="shared" si="3"/>
        <v>Available</v>
      </c>
    </row>
    <row r="68" spans="3:14" x14ac:dyDescent="0.3">
      <c r="C68" t="s">
        <v>214</v>
      </c>
      <c r="D68" t="s">
        <v>215</v>
      </c>
      <c r="E68" t="s">
        <v>10</v>
      </c>
      <c r="F68" t="s">
        <v>25</v>
      </c>
      <c r="G68" s="1">
        <v>69057.320000000007</v>
      </c>
      <c r="H68" s="4">
        <v>43390</v>
      </c>
      <c r="I68" s="4" t="str">
        <f t="shared" si="4"/>
        <v>Oct</v>
      </c>
      <c r="J68" s="3">
        <v>1</v>
      </c>
      <c r="K68" t="s">
        <v>12</v>
      </c>
      <c r="L68" t="s">
        <v>505</v>
      </c>
      <c r="M68" t="str">
        <f t="shared" si="5"/>
        <v>full time</v>
      </c>
      <c r="N68" t="str">
        <f t="shared" si="3"/>
        <v>Available</v>
      </c>
    </row>
    <row r="69" spans="3:14" x14ac:dyDescent="0.3">
      <c r="C69" t="s">
        <v>366</v>
      </c>
      <c r="D69" t="s">
        <v>367</v>
      </c>
      <c r="E69" t="s">
        <v>13</v>
      </c>
      <c r="F69" t="s">
        <v>14</v>
      </c>
      <c r="G69" s="1">
        <v>99448.78</v>
      </c>
      <c r="H69" s="4">
        <v>43678</v>
      </c>
      <c r="I69" s="4" t="str">
        <f t="shared" si="4"/>
        <v>Aug</v>
      </c>
      <c r="J69" s="3">
        <v>1</v>
      </c>
      <c r="K69" t="s">
        <v>335</v>
      </c>
      <c r="L69" t="s">
        <v>505</v>
      </c>
      <c r="M69" t="str">
        <f t="shared" si="5"/>
        <v>full time</v>
      </c>
      <c r="N69" t="str">
        <f t="shared" si="3"/>
        <v>Available</v>
      </c>
    </row>
    <row r="70" spans="3:14" x14ac:dyDescent="0.3">
      <c r="C70" t="s">
        <v>222</v>
      </c>
      <c r="D70" t="s">
        <v>223</v>
      </c>
      <c r="E70" t="s">
        <v>10</v>
      </c>
      <c r="F70" t="s">
        <v>15</v>
      </c>
      <c r="G70" s="1">
        <v>66865.490000000005</v>
      </c>
      <c r="H70" s="4">
        <v>43514</v>
      </c>
      <c r="I70" s="4" t="str">
        <f t="shared" si="4"/>
        <v>Feb</v>
      </c>
      <c r="J70" s="3">
        <v>1</v>
      </c>
      <c r="K70" t="s">
        <v>12</v>
      </c>
      <c r="L70" t="s">
        <v>508</v>
      </c>
      <c r="M70" t="str">
        <f t="shared" si="5"/>
        <v>full time</v>
      </c>
      <c r="N70" t="str">
        <f t="shared" si="3"/>
        <v>Available</v>
      </c>
    </row>
    <row r="71" spans="3:14" x14ac:dyDescent="0.3">
      <c r="C71" t="s">
        <v>444</v>
      </c>
      <c r="D71" t="s">
        <v>445</v>
      </c>
      <c r="E71" t="s">
        <v>13</v>
      </c>
      <c r="F71" t="s">
        <v>28</v>
      </c>
      <c r="G71" s="1">
        <v>113747.56</v>
      </c>
      <c r="H71" s="4">
        <v>44270</v>
      </c>
      <c r="I71" s="4" t="str">
        <f t="shared" si="4"/>
        <v>Mar</v>
      </c>
      <c r="J71" s="3">
        <v>0.7</v>
      </c>
      <c r="K71" t="s">
        <v>420</v>
      </c>
      <c r="L71" t="s">
        <v>507</v>
      </c>
      <c r="M71" t="str">
        <f t="shared" si="5"/>
        <v>part time</v>
      </c>
      <c r="N71" t="str">
        <f t="shared" si="3"/>
        <v>Available</v>
      </c>
    </row>
    <row r="72" spans="3:14" x14ac:dyDescent="0.3">
      <c r="C72" t="s">
        <v>58</v>
      </c>
      <c r="D72" t="s">
        <v>59</v>
      </c>
      <c r="E72" t="s">
        <v>13</v>
      </c>
      <c r="F72" t="s">
        <v>19</v>
      </c>
      <c r="G72" s="1">
        <v>85918.61</v>
      </c>
      <c r="H72" s="4">
        <v>43222</v>
      </c>
      <c r="I72" s="4" t="str">
        <f t="shared" si="4"/>
        <v>May</v>
      </c>
      <c r="J72" s="3">
        <v>1</v>
      </c>
      <c r="K72" t="s">
        <v>12</v>
      </c>
      <c r="L72" t="s">
        <v>507</v>
      </c>
      <c r="M72" t="str">
        <f t="shared" si="5"/>
        <v>full time</v>
      </c>
      <c r="N72" t="str">
        <f t="shared" si="3"/>
        <v>Available</v>
      </c>
    </row>
    <row r="73" spans="3:14" x14ac:dyDescent="0.3">
      <c r="C73" t="s">
        <v>418</v>
      </c>
      <c r="D73" t="s">
        <v>419</v>
      </c>
      <c r="E73" t="s">
        <v>10</v>
      </c>
      <c r="F73" t="s">
        <v>24</v>
      </c>
      <c r="G73" s="1">
        <v>51165.37</v>
      </c>
      <c r="H73" s="4">
        <v>44471</v>
      </c>
      <c r="I73" s="4" t="str">
        <f t="shared" si="4"/>
        <v>Oct</v>
      </c>
      <c r="J73" s="3">
        <v>1</v>
      </c>
      <c r="K73" t="s">
        <v>335</v>
      </c>
      <c r="L73" t="s">
        <v>509</v>
      </c>
      <c r="M73" t="str">
        <f t="shared" si="5"/>
        <v>full time</v>
      </c>
      <c r="N73" t="str">
        <f t="shared" si="3"/>
        <v>Missing</v>
      </c>
    </row>
    <row r="74" spans="3:14" x14ac:dyDescent="0.3">
      <c r="C74" t="s">
        <v>26</v>
      </c>
      <c r="D74" t="s">
        <v>27</v>
      </c>
      <c r="E74" t="s">
        <v>10</v>
      </c>
      <c r="F74" t="s">
        <v>28</v>
      </c>
      <c r="G74">
        <f>MEDIAN(G1:G64)</f>
        <v>68980.52</v>
      </c>
      <c r="H74" s="4">
        <v>44011</v>
      </c>
      <c r="I74" s="4" t="str">
        <f t="shared" si="4"/>
        <v>Jun</v>
      </c>
      <c r="J74" s="3">
        <v>1</v>
      </c>
      <c r="K74" t="s">
        <v>12</v>
      </c>
      <c r="L74" t="s">
        <v>505</v>
      </c>
      <c r="M74" t="str">
        <f t="shared" si="5"/>
        <v>full time</v>
      </c>
      <c r="N74" t="str">
        <f t="shared" si="3"/>
        <v>Available</v>
      </c>
    </row>
    <row r="75" spans="3:14" x14ac:dyDescent="0.3">
      <c r="C75" t="s">
        <v>319</v>
      </c>
      <c r="D75" t="s">
        <v>320</v>
      </c>
      <c r="E75" t="s">
        <v>10</v>
      </c>
      <c r="F75" t="s">
        <v>14</v>
      </c>
      <c r="G75" s="1">
        <v>67957.899999999994</v>
      </c>
      <c r="H75" s="4">
        <v>43430</v>
      </c>
      <c r="I75" s="4" t="str">
        <f t="shared" si="4"/>
        <v>Nov</v>
      </c>
      <c r="J75" s="3">
        <v>1</v>
      </c>
      <c r="K75" t="s">
        <v>12</v>
      </c>
      <c r="L75" t="s">
        <v>510</v>
      </c>
      <c r="M75" t="str">
        <f t="shared" si="5"/>
        <v>full time</v>
      </c>
      <c r="N75" t="str">
        <f t="shared" si="3"/>
        <v>Available</v>
      </c>
    </row>
    <row r="76" spans="3:14" x14ac:dyDescent="0.3">
      <c r="C76" t="s">
        <v>431</v>
      </c>
      <c r="D76" t="s">
        <v>432</v>
      </c>
      <c r="E76" t="s">
        <v>13</v>
      </c>
      <c r="F76" t="s">
        <v>16</v>
      </c>
      <c r="G76" s="1">
        <v>114465.93</v>
      </c>
      <c r="H76" s="4">
        <v>43380</v>
      </c>
      <c r="I76" s="4" t="str">
        <f t="shared" si="4"/>
        <v>Oct</v>
      </c>
      <c r="J76" s="3">
        <v>1</v>
      </c>
      <c r="K76" t="s">
        <v>420</v>
      </c>
      <c r="L76" t="s">
        <v>505</v>
      </c>
      <c r="M76" t="str">
        <f t="shared" si="5"/>
        <v>full time</v>
      </c>
      <c r="N76" t="str">
        <f t="shared" si="3"/>
        <v>Available</v>
      </c>
    </row>
    <row r="77" spans="3:14" x14ac:dyDescent="0.3">
      <c r="C77" t="s">
        <v>113</v>
      </c>
      <c r="D77" t="s">
        <v>114</v>
      </c>
      <c r="E77" t="s">
        <v>13</v>
      </c>
      <c r="F77" t="s">
        <v>32</v>
      </c>
      <c r="G77" s="1">
        <v>65699.02</v>
      </c>
      <c r="H77" s="4">
        <v>43951</v>
      </c>
      <c r="I77" s="4" t="str">
        <f t="shared" si="4"/>
        <v>Apr</v>
      </c>
      <c r="J77" s="3">
        <v>1</v>
      </c>
      <c r="K77" t="s">
        <v>12</v>
      </c>
      <c r="L77" t="s">
        <v>507</v>
      </c>
      <c r="M77" t="str">
        <f t="shared" si="5"/>
        <v>full time</v>
      </c>
      <c r="N77" t="str">
        <f t="shared" si="3"/>
        <v>Available</v>
      </c>
    </row>
    <row r="78" spans="3:14" x14ac:dyDescent="0.3">
      <c r="C78" t="s">
        <v>442</v>
      </c>
      <c r="D78" t="s">
        <v>443</v>
      </c>
      <c r="E78" t="s">
        <v>13</v>
      </c>
      <c r="F78" t="s">
        <v>33</v>
      </c>
      <c r="G78" s="1">
        <v>83191.95</v>
      </c>
      <c r="H78" s="4">
        <v>43700</v>
      </c>
      <c r="I78" s="4" t="str">
        <f t="shared" si="4"/>
        <v>Aug</v>
      </c>
      <c r="J78" s="3">
        <v>0.6</v>
      </c>
      <c r="K78" t="s">
        <v>420</v>
      </c>
      <c r="L78" t="s">
        <v>511</v>
      </c>
      <c r="M78" t="str">
        <f t="shared" si="5"/>
        <v>part time</v>
      </c>
      <c r="N78" t="str">
        <f t="shared" si="3"/>
        <v>Available</v>
      </c>
    </row>
    <row r="79" spans="3:14" x14ac:dyDescent="0.3">
      <c r="C79" t="s">
        <v>351</v>
      </c>
      <c r="D79" t="s">
        <v>352</v>
      </c>
      <c r="E79" t="s">
        <v>13</v>
      </c>
      <c r="F79" t="s">
        <v>15</v>
      </c>
      <c r="G79" s="1">
        <v>106775.14</v>
      </c>
      <c r="H79" s="4">
        <v>43681</v>
      </c>
      <c r="I79" s="4" t="str">
        <f t="shared" si="4"/>
        <v>Aug</v>
      </c>
      <c r="J79" s="3">
        <v>1</v>
      </c>
      <c r="K79" t="s">
        <v>335</v>
      </c>
      <c r="L79" t="s">
        <v>509</v>
      </c>
      <c r="M79" t="str">
        <f t="shared" si="5"/>
        <v>full time</v>
      </c>
      <c r="N79" t="str">
        <f t="shared" si="3"/>
        <v>Available</v>
      </c>
    </row>
    <row r="80" spans="3:14" x14ac:dyDescent="0.3">
      <c r="C80" t="s">
        <v>462</v>
      </c>
      <c r="D80" t="s">
        <v>463</v>
      </c>
      <c r="E80" t="s">
        <v>13</v>
      </c>
      <c r="F80" t="s">
        <v>14</v>
      </c>
      <c r="G80" s="1">
        <v>83396.5</v>
      </c>
      <c r="H80" s="4">
        <v>44285</v>
      </c>
      <c r="I80" s="4" t="str">
        <f t="shared" si="4"/>
        <v>Mar</v>
      </c>
      <c r="J80" s="3">
        <v>1</v>
      </c>
      <c r="K80" t="s">
        <v>420</v>
      </c>
      <c r="L80" t="s">
        <v>506</v>
      </c>
      <c r="M80" t="str">
        <f t="shared" si="5"/>
        <v>full time</v>
      </c>
      <c r="N80" t="str">
        <f t="shared" si="3"/>
        <v>Available</v>
      </c>
    </row>
    <row r="81" spans="3:14" x14ac:dyDescent="0.3">
      <c r="C81" t="s">
        <v>437</v>
      </c>
      <c r="D81" t="s">
        <v>291</v>
      </c>
      <c r="E81" t="s">
        <v>13</v>
      </c>
      <c r="F81" t="s">
        <v>28</v>
      </c>
      <c r="G81" s="1">
        <v>28481.16</v>
      </c>
      <c r="H81" s="4">
        <v>44198</v>
      </c>
      <c r="I81" s="4" t="str">
        <f t="shared" si="4"/>
        <v>Jan</v>
      </c>
      <c r="J81" s="3">
        <v>1</v>
      </c>
      <c r="K81" t="s">
        <v>420</v>
      </c>
      <c r="L81" t="s">
        <v>510</v>
      </c>
      <c r="M81" t="str">
        <f t="shared" si="5"/>
        <v>full time</v>
      </c>
      <c r="N81" t="str">
        <f t="shared" si="3"/>
        <v>Available</v>
      </c>
    </row>
    <row r="82" spans="3:14" x14ac:dyDescent="0.3">
      <c r="C82" t="s">
        <v>490</v>
      </c>
      <c r="D82" t="s">
        <v>491</v>
      </c>
      <c r="E82" t="s">
        <v>13</v>
      </c>
      <c r="F82" t="s">
        <v>33</v>
      </c>
      <c r="G82" s="1">
        <v>32192.15</v>
      </c>
      <c r="H82" s="4">
        <v>44296</v>
      </c>
      <c r="I82" s="4" t="str">
        <f t="shared" si="4"/>
        <v>Apr</v>
      </c>
      <c r="J82" s="3">
        <v>1</v>
      </c>
      <c r="K82" t="s">
        <v>12</v>
      </c>
      <c r="L82" t="s">
        <v>509</v>
      </c>
      <c r="M82" t="str">
        <f t="shared" si="5"/>
        <v>full time</v>
      </c>
      <c r="N82" t="str">
        <f t="shared" si="3"/>
        <v>Available</v>
      </c>
    </row>
    <row r="83" spans="3:14" x14ac:dyDescent="0.3">
      <c r="C83" t="s">
        <v>50</v>
      </c>
      <c r="D83" t="s">
        <v>51</v>
      </c>
      <c r="E83" t="s">
        <v>13</v>
      </c>
      <c r="F83" t="s">
        <v>24</v>
      </c>
      <c r="G83" s="1">
        <v>112645.99</v>
      </c>
      <c r="H83" s="4">
        <v>43759</v>
      </c>
      <c r="I83" s="4" t="str">
        <f t="shared" si="4"/>
        <v>Oct</v>
      </c>
      <c r="J83" s="3">
        <v>0.6</v>
      </c>
      <c r="K83" t="s">
        <v>12</v>
      </c>
      <c r="L83" t="s">
        <v>508</v>
      </c>
      <c r="M83" t="str">
        <f t="shared" si="5"/>
        <v>part time</v>
      </c>
      <c r="N83" t="str">
        <f t="shared" si="3"/>
        <v>Missing</v>
      </c>
    </row>
    <row r="84" spans="3:14" x14ac:dyDescent="0.3">
      <c r="C84" t="s">
        <v>226</v>
      </c>
      <c r="D84" t="s">
        <v>227</v>
      </c>
      <c r="E84" t="s">
        <v>13</v>
      </c>
      <c r="F84" t="s">
        <v>39</v>
      </c>
      <c r="G84" s="1">
        <v>107107.6</v>
      </c>
      <c r="H84" s="4">
        <v>43325</v>
      </c>
      <c r="I84" s="4" t="str">
        <f t="shared" si="4"/>
        <v>Aug</v>
      </c>
      <c r="J84" s="3">
        <v>0.9</v>
      </c>
      <c r="K84" t="s">
        <v>12</v>
      </c>
      <c r="L84" t="s">
        <v>510</v>
      </c>
      <c r="M84" t="str">
        <f t="shared" si="5"/>
        <v>part time</v>
      </c>
      <c r="N84" t="str">
        <f t="shared" si="3"/>
        <v>Available</v>
      </c>
    </row>
    <row r="85" spans="3:14" x14ac:dyDescent="0.3">
      <c r="C85" t="s">
        <v>117</v>
      </c>
      <c r="D85" t="s">
        <v>21</v>
      </c>
      <c r="E85" t="s">
        <v>10</v>
      </c>
      <c r="F85" t="s">
        <v>19</v>
      </c>
      <c r="G85" s="1">
        <v>80695.740000000005</v>
      </c>
      <c r="H85" s="4">
        <v>43787</v>
      </c>
      <c r="I85" s="4" t="str">
        <f t="shared" si="4"/>
        <v>Nov</v>
      </c>
      <c r="J85" s="3">
        <v>0.8</v>
      </c>
      <c r="K85" t="s">
        <v>12</v>
      </c>
      <c r="L85" t="s">
        <v>507</v>
      </c>
      <c r="M85" t="str">
        <f t="shared" si="5"/>
        <v>part time</v>
      </c>
      <c r="N85" t="str">
        <f t="shared" si="3"/>
        <v>Available</v>
      </c>
    </row>
    <row r="86" spans="3:14" x14ac:dyDescent="0.3">
      <c r="C86" t="s">
        <v>263</v>
      </c>
      <c r="D86" t="s">
        <v>264</v>
      </c>
      <c r="E86" t="s">
        <v>10</v>
      </c>
      <c r="F86" t="s">
        <v>15</v>
      </c>
      <c r="G86" s="1">
        <v>75475.929999999993</v>
      </c>
      <c r="H86" s="4">
        <v>43794</v>
      </c>
      <c r="I86" s="4" t="str">
        <f t="shared" si="4"/>
        <v>Nov</v>
      </c>
      <c r="J86" s="3">
        <v>1</v>
      </c>
      <c r="K86" t="s">
        <v>12</v>
      </c>
      <c r="L86" t="s">
        <v>511</v>
      </c>
      <c r="M86" t="str">
        <f t="shared" si="5"/>
        <v>full time</v>
      </c>
      <c r="N86" t="str">
        <f t="shared" si="3"/>
        <v>Available</v>
      </c>
    </row>
    <row r="87" spans="3:14" x14ac:dyDescent="0.3">
      <c r="C87" t="s">
        <v>401</v>
      </c>
      <c r="D87" t="s">
        <v>402</v>
      </c>
      <c r="E87" t="s">
        <v>10</v>
      </c>
      <c r="F87" t="s">
        <v>19</v>
      </c>
      <c r="G87" s="1">
        <v>86558.58</v>
      </c>
      <c r="H87" s="4">
        <v>43887</v>
      </c>
      <c r="I87" s="4" t="str">
        <f t="shared" si="4"/>
        <v>Feb</v>
      </c>
      <c r="J87" s="3">
        <v>1</v>
      </c>
      <c r="K87" t="s">
        <v>335</v>
      </c>
      <c r="L87" t="s">
        <v>511</v>
      </c>
      <c r="M87" t="str">
        <f t="shared" si="5"/>
        <v>full time</v>
      </c>
      <c r="N87" t="str">
        <f t="shared" si="3"/>
        <v>Available</v>
      </c>
    </row>
    <row r="88" spans="3:14" x14ac:dyDescent="0.3">
      <c r="C88" t="s">
        <v>498</v>
      </c>
      <c r="D88" t="s">
        <v>499</v>
      </c>
      <c r="E88" t="s">
        <v>10</v>
      </c>
      <c r="F88" t="s">
        <v>29</v>
      </c>
      <c r="G88" s="1">
        <v>84309.95</v>
      </c>
      <c r="H88" s="4">
        <v>44207</v>
      </c>
      <c r="I88" s="4" t="str">
        <f t="shared" si="4"/>
        <v>Jan</v>
      </c>
      <c r="J88" s="3">
        <v>1</v>
      </c>
      <c r="K88" t="s">
        <v>12</v>
      </c>
      <c r="L88" t="s">
        <v>511</v>
      </c>
      <c r="M88" t="str">
        <f t="shared" si="5"/>
        <v>full time</v>
      </c>
      <c r="N88" t="str">
        <f t="shared" si="3"/>
        <v>Available</v>
      </c>
    </row>
    <row r="89" spans="3:14" x14ac:dyDescent="0.3">
      <c r="C89" t="s">
        <v>52</v>
      </c>
      <c r="D89" t="s">
        <v>53</v>
      </c>
      <c r="E89" t="s">
        <v>13</v>
      </c>
      <c r="F89" t="s">
        <v>39</v>
      </c>
      <c r="G89" s="1">
        <v>91645.04</v>
      </c>
      <c r="H89" s="4">
        <v>44223</v>
      </c>
      <c r="I89" s="4" t="str">
        <f t="shared" si="4"/>
        <v>Jan</v>
      </c>
      <c r="J89" s="3">
        <v>1</v>
      </c>
      <c r="K89" t="s">
        <v>12</v>
      </c>
      <c r="L89" t="s">
        <v>506</v>
      </c>
      <c r="M89" t="str">
        <f t="shared" si="5"/>
        <v>full time</v>
      </c>
      <c r="N89" t="str">
        <f t="shared" si="3"/>
        <v>Available</v>
      </c>
    </row>
    <row r="90" spans="3:14" x14ac:dyDescent="0.3">
      <c r="C90" t="s">
        <v>404</v>
      </c>
      <c r="D90" t="s">
        <v>405</v>
      </c>
      <c r="E90" t="s">
        <v>10</v>
      </c>
      <c r="F90" t="s">
        <v>11</v>
      </c>
      <c r="G90" s="1">
        <v>101187.36</v>
      </c>
      <c r="H90" s="4">
        <v>43287</v>
      </c>
      <c r="I90" s="4" t="str">
        <f t="shared" si="4"/>
        <v>Jul</v>
      </c>
      <c r="J90" s="3">
        <v>1</v>
      </c>
      <c r="K90" t="s">
        <v>335</v>
      </c>
      <c r="L90" t="s">
        <v>507</v>
      </c>
      <c r="M90" t="str">
        <f t="shared" si="5"/>
        <v>full time</v>
      </c>
      <c r="N90" t="str">
        <f t="shared" si="3"/>
        <v>Available</v>
      </c>
    </row>
    <row r="91" spans="3:14" x14ac:dyDescent="0.3">
      <c r="C91" t="s">
        <v>371</v>
      </c>
      <c r="D91" t="s">
        <v>372</v>
      </c>
      <c r="E91" t="s">
        <v>10</v>
      </c>
      <c r="F91" t="s">
        <v>38</v>
      </c>
      <c r="G91" s="1">
        <v>104038.9</v>
      </c>
      <c r="H91" s="4">
        <v>43815</v>
      </c>
      <c r="I91" s="4" t="str">
        <f t="shared" si="4"/>
        <v>Dec</v>
      </c>
      <c r="J91" s="3">
        <v>1</v>
      </c>
      <c r="K91" t="s">
        <v>335</v>
      </c>
      <c r="L91" t="s">
        <v>511</v>
      </c>
      <c r="M91" t="str">
        <f t="shared" si="5"/>
        <v>full time</v>
      </c>
      <c r="N91" t="str">
        <f t="shared" si="3"/>
        <v>Available</v>
      </c>
    </row>
    <row r="92" spans="3:14" x14ac:dyDescent="0.3">
      <c r="C92" t="s">
        <v>349</v>
      </c>
      <c r="D92" t="s">
        <v>350</v>
      </c>
      <c r="E92" t="s">
        <v>10</v>
      </c>
      <c r="F92" t="s">
        <v>29</v>
      </c>
      <c r="G92" s="1">
        <v>99683.67</v>
      </c>
      <c r="H92" s="4">
        <v>43557</v>
      </c>
      <c r="I92" s="4" t="str">
        <f t="shared" si="4"/>
        <v>Apr</v>
      </c>
      <c r="J92" s="3">
        <v>1</v>
      </c>
      <c r="K92" t="s">
        <v>335</v>
      </c>
      <c r="L92" t="s">
        <v>508</v>
      </c>
      <c r="M92" t="str">
        <f t="shared" si="5"/>
        <v>full time</v>
      </c>
      <c r="N92" t="str">
        <f t="shared" si="3"/>
        <v>Available</v>
      </c>
    </row>
    <row r="93" spans="3:14" x14ac:dyDescent="0.3">
      <c r="C93" t="s">
        <v>488</v>
      </c>
      <c r="D93" t="s">
        <v>489</v>
      </c>
      <c r="E93" t="s">
        <v>13</v>
      </c>
      <c r="F93" t="s">
        <v>16</v>
      </c>
      <c r="G93" s="1">
        <v>47362.62</v>
      </c>
      <c r="H93" s="4">
        <v>43973</v>
      </c>
      <c r="I93" s="4" t="str">
        <f t="shared" si="4"/>
        <v>May</v>
      </c>
      <c r="J93" s="3">
        <v>1</v>
      </c>
      <c r="K93" t="s">
        <v>420</v>
      </c>
      <c r="L93" t="s">
        <v>511</v>
      </c>
      <c r="M93" t="str">
        <f t="shared" si="5"/>
        <v>full time</v>
      </c>
      <c r="N93" t="str">
        <f t="shared" si="3"/>
        <v>Available</v>
      </c>
    </row>
    <row r="94" spans="3:14" x14ac:dyDescent="0.3">
      <c r="C94" t="s">
        <v>17</v>
      </c>
      <c r="D94" t="s">
        <v>18</v>
      </c>
      <c r="E94" t="s">
        <v>10</v>
      </c>
      <c r="F94" t="s">
        <v>19</v>
      </c>
      <c r="G94" s="1">
        <v>70649.460000000006</v>
      </c>
      <c r="H94" s="4">
        <v>43843</v>
      </c>
      <c r="I94" s="4" t="str">
        <f t="shared" si="4"/>
        <v>Jan</v>
      </c>
      <c r="J94" s="3">
        <v>1</v>
      </c>
      <c r="K94" t="s">
        <v>12</v>
      </c>
      <c r="L94" t="s">
        <v>509</v>
      </c>
      <c r="M94" t="str">
        <f t="shared" si="5"/>
        <v>full time</v>
      </c>
      <c r="N94" t="str">
        <f t="shared" si="3"/>
        <v>Available</v>
      </c>
    </row>
    <row r="95" spans="3:14" x14ac:dyDescent="0.3">
      <c r="C95" t="s">
        <v>230</v>
      </c>
      <c r="D95" t="s">
        <v>231</v>
      </c>
      <c r="E95" t="s">
        <v>10</v>
      </c>
      <c r="F95" t="s">
        <v>28</v>
      </c>
      <c r="G95" s="1">
        <v>75733.740000000005</v>
      </c>
      <c r="H95" s="4">
        <v>44382</v>
      </c>
      <c r="I95" s="4" t="str">
        <f t="shared" si="4"/>
        <v>Jul</v>
      </c>
      <c r="J95" s="3">
        <v>1</v>
      </c>
      <c r="K95" t="s">
        <v>12</v>
      </c>
      <c r="L95" t="s">
        <v>509</v>
      </c>
      <c r="M95" t="str">
        <f t="shared" si="5"/>
        <v>full time</v>
      </c>
      <c r="N95" t="str">
        <f t="shared" si="3"/>
        <v>Available</v>
      </c>
    </row>
    <row r="96" spans="3:14" x14ac:dyDescent="0.3">
      <c r="C96" t="s">
        <v>427</v>
      </c>
      <c r="D96" t="s">
        <v>428</v>
      </c>
      <c r="E96" t="s">
        <v>10</v>
      </c>
      <c r="F96" t="s">
        <v>39</v>
      </c>
      <c r="G96" s="1">
        <v>71823.56</v>
      </c>
      <c r="H96" s="4">
        <v>43374</v>
      </c>
      <c r="I96" s="4" t="str">
        <f t="shared" si="4"/>
        <v>Oct</v>
      </c>
      <c r="J96" s="3">
        <v>0.3</v>
      </c>
      <c r="K96" t="s">
        <v>420</v>
      </c>
      <c r="L96" t="s">
        <v>511</v>
      </c>
      <c r="M96" t="str">
        <f t="shared" si="5"/>
        <v>part time</v>
      </c>
      <c r="N96" t="str">
        <f t="shared" si="3"/>
        <v>Available</v>
      </c>
    </row>
    <row r="97" spans="3:14" x14ac:dyDescent="0.3">
      <c r="C97" t="s">
        <v>141</v>
      </c>
      <c r="D97" t="s">
        <v>142</v>
      </c>
      <c r="E97" t="s">
        <v>10</v>
      </c>
      <c r="F97" t="s">
        <v>33</v>
      </c>
      <c r="G97" s="1">
        <v>41934.71</v>
      </c>
      <c r="H97" s="4">
        <v>43943</v>
      </c>
      <c r="I97" s="4" t="str">
        <f t="shared" si="4"/>
        <v>Apr</v>
      </c>
      <c r="J97" s="3">
        <v>1</v>
      </c>
      <c r="K97" t="s">
        <v>12</v>
      </c>
      <c r="L97" t="s">
        <v>511</v>
      </c>
      <c r="M97" t="str">
        <f t="shared" si="5"/>
        <v>full time</v>
      </c>
      <c r="N97" t="str">
        <f t="shared" si="3"/>
        <v>Available</v>
      </c>
    </row>
    <row r="98" spans="3:14" x14ac:dyDescent="0.3">
      <c r="C98" t="s">
        <v>107</v>
      </c>
      <c r="D98" t="s">
        <v>108</v>
      </c>
      <c r="E98" t="s">
        <v>13</v>
      </c>
      <c r="F98" t="s">
        <v>28</v>
      </c>
      <c r="G98" s="1">
        <v>66572.58</v>
      </c>
      <c r="H98" s="4">
        <v>44193</v>
      </c>
      <c r="I98" s="4" t="str">
        <f t="shared" si="4"/>
        <v>Dec</v>
      </c>
      <c r="J98" s="3">
        <v>1</v>
      </c>
      <c r="K98" t="s">
        <v>12</v>
      </c>
      <c r="L98" t="s">
        <v>510</v>
      </c>
      <c r="M98" t="str">
        <f t="shared" si="5"/>
        <v>full time</v>
      </c>
      <c r="N98" t="str">
        <f t="shared" si="3"/>
        <v>Available</v>
      </c>
    </row>
    <row r="99" spans="3:14" x14ac:dyDescent="0.3">
      <c r="C99" t="s">
        <v>243</v>
      </c>
      <c r="D99" t="s">
        <v>244</v>
      </c>
      <c r="E99" t="s">
        <v>13</v>
      </c>
      <c r="F99" t="s">
        <v>32</v>
      </c>
      <c r="G99" s="1">
        <v>76932.600000000006</v>
      </c>
      <c r="H99" s="4">
        <v>43493</v>
      </c>
      <c r="I99" s="4" t="str">
        <f t="shared" si="4"/>
        <v>Jan</v>
      </c>
      <c r="J99" s="3">
        <v>1</v>
      </c>
      <c r="K99" t="s">
        <v>12</v>
      </c>
      <c r="L99" t="s">
        <v>509</v>
      </c>
      <c r="M99" t="str">
        <f t="shared" si="5"/>
        <v>full time</v>
      </c>
      <c r="N99" t="str">
        <f t="shared" si="3"/>
        <v>Available</v>
      </c>
    </row>
    <row r="100" spans="3:14" x14ac:dyDescent="0.3">
      <c r="C100" t="s">
        <v>282</v>
      </c>
      <c r="D100" t="s">
        <v>283</v>
      </c>
      <c r="E100" t="s">
        <v>13</v>
      </c>
      <c r="F100" t="s">
        <v>38</v>
      </c>
      <c r="G100" s="1">
        <v>59258.19</v>
      </c>
      <c r="H100" s="4">
        <v>43452</v>
      </c>
      <c r="I100" s="4" t="str">
        <f t="shared" si="4"/>
        <v>Dec</v>
      </c>
      <c r="J100" s="3">
        <v>0.8</v>
      </c>
      <c r="K100" t="s">
        <v>12</v>
      </c>
      <c r="L100" t="s">
        <v>508</v>
      </c>
      <c r="M100" t="str">
        <f t="shared" si="5"/>
        <v>part time</v>
      </c>
      <c r="N100" t="str">
        <f t="shared" si="3"/>
        <v>Available</v>
      </c>
    </row>
    <row r="101" spans="3:14" x14ac:dyDescent="0.3">
      <c r="C101" t="s">
        <v>414</v>
      </c>
      <c r="D101" t="s">
        <v>415</v>
      </c>
      <c r="E101" t="s">
        <v>13</v>
      </c>
      <c r="F101" t="s">
        <v>11</v>
      </c>
      <c r="G101" s="1">
        <v>112778.28</v>
      </c>
      <c r="H101" s="4">
        <v>43250</v>
      </c>
      <c r="I101" s="4" t="str">
        <f t="shared" si="4"/>
        <v>May</v>
      </c>
      <c r="J101" s="3">
        <v>1</v>
      </c>
      <c r="K101" t="s">
        <v>335</v>
      </c>
      <c r="L101" t="s">
        <v>511</v>
      </c>
      <c r="M101" t="str">
        <f t="shared" si="5"/>
        <v>full time</v>
      </c>
      <c r="N101" t="str">
        <f t="shared" si="3"/>
        <v>Available</v>
      </c>
    </row>
    <row r="102" spans="3:14" x14ac:dyDescent="0.3">
      <c r="C102" t="s">
        <v>189</v>
      </c>
      <c r="D102" t="s">
        <v>190</v>
      </c>
      <c r="E102" t="s">
        <v>10</v>
      </c>
      <c r="F102" t="s">
        <v>39</v>
      </c>
      <c r="G102" s="1">
        <v>44845.33</v>
      </c>
      <c r="H102" s="4">
        <v>43277</v>
      </c>
      <c r="I102" s="4" t="str">
        <f t="shared" si="4"/>
        <v>Jun</v>
      </c>
      <c r="J102" s="3">
        <v>1</v>
      </c>
      <c r="K102" t="s">
        <v>12</v>
      </c>
      <c r="L102" t="s">
        <v>508</v>
      </c>
      <c r="M102" t="str">
        <f t="shared" si="5"/>
        <v>full time</v>
      </c>
      <c r="N102" t="str">
        <f t="shared" si="3"/>
        <v>Available</v>
      </c>
    </row>
    <row r="103" spans="3:14" x14ac:dyDescent="0.3">
      <c r="C103" t="s">
        <v>72</v>
      </c>
      <c r="D103" t="s">
        <v>73</v>
      </c>
      <c r="E103" t="s">
        <v>13</v>
      </c>
      <c r="F103" t="s">
        <v>15</v>
      </c>
      <c r="G103" s="1">
        <v>115191.38</v>
      </c>
      <c r="H103" s="4">
        <v>44004</v>
      </c>
      <c r="I103" s="4" t="str">
        <f t="shared" si="4"/>
        <v>Jun</v>
      </c>
      <c r="J103" s="3">
        <v>1</v>
      </c>
      <c r="K103" t="s">
        <v>12</v>
      </c>
      <c r="L103" t="s">
        <v>509</v>
      </c>
      <c r="M103" t="str">
        <f t="shared" si="5"/>
        <v>full time</v>
      </c>
      <c r="N103" t="str">
        <f t="shared" si="3"/>
        <v>Available</v>
      </c>
    </row>
    <row r="104" spans="3:14" x14ac:dyDescent="0.3">
      <c r="C104" t="s">
        <v>143</v>
      </c>
      <c r="D104" t="s">
        <v>144</v>
      </c>
      <c r="E104" t="s">
        <v>10</v>
      </c>
      <c r="F104" t="s">
        <v>28</v>
      </c>
      <c r="G104" s="1">
        <v>111049.84</v>
      </c>
      <c r="H104" s="4">
        <v>44393</v>
      </c>
      <c r="I104" s="4" t="str">
        <f t="shared" si="4"/>
        <v>Jul</v>
      </c>
      <c r="J104" s="3">
        <v>1</v>
      </c>
      <c r="K104" t="s">
        <v>12</v>
      </c>
      <c r="L104" t="s">
        <v>505</v>
      </c>
      <c r="M104" t="str">
        <f t="shared" si="5"/>
        <v>full time</v>
      </c>
      <c r="N104" t="str">
        <f t="shared" si="3"/>
        <v>Available</v>
      </c>
    </row>
    <row r="105" spans="3:14" x14ac:dyDescent="0.3">
      <c r="C105" t="s">
        <v>76</v>
      </c>
      <c r="D105" t="s">
        <v>77</v>
      </c>
      <c r="E105" t="s">
        <v>10</v>
      </c>
      <c r="F105" t="s">
        <v>38</v>
      </c>
      <c r="G105" s="1">
        <v>75974.990000000005</v>
      </c>
      <c r="H105" s="4">
        <v>44024</v>
      </c>
      <c r="I105" s="4" t="str">
        <f t="shared" si="4"/>
        <v>Jul</v>
      </c>
      <c r="J105" s="3">
        <v>1</v>
      </c>
      <c r="K105" t="s">
        <v>12</v>
      </c>
      <c r="L105" t="s">
        <v>511</v>
      </c>
      <c r="M105" t="str">
        <f t="shared" si="5"/>
        <v>full time</v>
      </c>
      <c r="N105" t="str">
        <f t="shared" si="3"/>
        <v>Available</v>
      </c>
    </row>
    <row r="106" spans="3:14" x14ac:dyDescent="0.3">
      <c r="C106" t="s">
        <v>280</v>
      </c>
      <c r="D106" t="s">
        <v>281</v>
      </c>
      <c r="E106" t="s">
        <v>10</v>
      </c>
      <c r="F106" t="s">
        <v>25</v>
      </c>
      <c r="G106" s="1">
        <v>42161.77</v>
      </c>
      <c r="H106" s="4">
        <v>43494</v>
      </c>
      <c r="I106" s="4" t="str">
        <f t="shared" si="4"/>
        <v>Jan</v>
      </c>
      <c r="J106" s="3">
        <v>1</v>
      </c>
      <c r="K106" t="s">
        <v>12</v>
      </c>
      <c r="L106" t="s">
        <v>506</v>
      </c>
      <c r="M106" t="str">
        <f t="shared" si="5"/>
        <v>full time</v>
      </c>
      <c r="N106" t="str">
        <f t="shared" si="3"/>
        <v>Available</v>
      </c>
    </row>
    <row r="107" spans="3:14" x14ac:dyDescent="0.3">
      <c r="C107" t="s">
        <v>169</v>
      </c>
      <c r="D107" t="s">
        <v>170</v>
      </c>
      <c r="E107" t="s">
        <v>13</v>
      </c>
      <c r="F107" t="s">
        <v>19</v>
      </c>
      <c r="G107" s="1">
        <v>71371.37</v>
      </c>
      <c r="H107" s="4">
        <v>43392</v>
      </c>
      <c r="I107" s="4" t="str">
        <f t="shared" si="4"/>
        <v>Oct</v>
      </c>
      <c r="J107" s="3">
        <v>1</v>
      </c>
      <c r="K107" t="s">
        <v>12</v>
      </c>
      <c r="L107" t="s">
        <v>509</v>
      </c>
      <c r="M107" t="str">
        <f t="shared" si="5"/>
        <v>full time</v>
      </c>
      <c r="N107" t="str">
        <f t="shared" si="3"/>
        <v>Available</v>
      </c>
    </row>
    <row r="108" spans="3:14" x14ac:dyDescent="0.3">
      <c r="C108" t="s">
        <v>163</v>
      </c>
      <c r="D108" t="s">
        <v>164</v>
      </c>
      <c r="E108" t="s">
        <v>13</v>
      </c>
      <c r="F108" t="s">
        <v>39</v>
      </c>
      <c r="G108" s="1">
        <v>49915.14</v>
      </c>
      <c r="H108" s="4">
        <v>43550</v>
      </c>
      <c r="I108" s="4" t="str">
        <f t="shared" si="4"/>
        <v>Mar</v>
      </c>
      <c r="J108" s="3">
        <v>1</v>
      </c>
      <c r="K108" t="s">
        <v>12</v>
      </c>
      <c r="L108" t="s">
        <v>511</v>
      </c>
      <c r="M108" t="str">
        <f t="shared" si="5"/>
        <v>full time</v>
      </c>
      <c r="N108" t="str">
        <f t="shared" si="3"/>
        <v>Available</v>
      </c>
    </row>
    <row r="109" spans="3:14" x14ac:dyDescent="0.3">
      <c r="C109" t="s">
        <v>26</v>
      </c>
      <c r="D109" t="s">
        <v>27</v>
      </c>
      <c r="E109" t="s">
        <v>10</v>
      </c>
      <c r="F109" t="s">
        <v>28</v>
      </c>
      <c r="G109" s="1">
        <v>0</v>
      </c>
      <c r="H109" s="4">
        <v>44011</v>
      </c>
      <c r="I109" s="4" t="str">
        <f t="shared" si="4"/>
        <v>Jun</v>
      </c>
      <c r="J109" s="3">
        <v>1</v>
      </c>
      <c r="K109" t="s">
        <v>12</v>
      </c>
      <c r="L109" t="s">
        <v>505</v>
      </c>
      <c r="M109" t="str">
        <f t="shared" si="5"/>
        <v>full time</v>
      </c>
      <c r="N109" t="str">
        <f t="shared" si="3"/>
        <v>Available</v>
      </c>
    </row>
    <row r="110" spans="3:14" x14ac:dyDescent="0.3">
      <c r="C110" t="s">
        <v>446</v>
      </c>
      <c r="D110" t="s">
        <v>447</v>
      </c>
      <c r="E110" t="s">
        <v>13</v>
      </c>
      <c r="F110" t="s">
        <v>38</v>
      </c>
      <c r="G110" s="1">
        <v>37062.1</v>
      </c>
      <c r="H110" s="4">
        <v>44475</v>
      </c>
      <c r="I110" s="4" t="str">
        <f t="shared" si="4"/>
        <v>Oct</v>
      </c>
      <c r="J110" s="3">
        <v>1</v>
      </c>
      <c r="K110" t="s">
        <v>420</v>
      </c>
      <c r="L110" t="s">
        <v>510</v>
      </c>
      <c r="M110" t="str">
        <f t="shared" si="5"/>
        <v>full time</v>
      </c>
      <c r="N110" t="str">
        <f t="shared" si="3"/>
        <v>Available</v>
      </c>
    </row>
    <row r="111" spans="3:14" x14ac:dyDescent="0.3">
      <c r="C111" t="s">
        <v>177</v>
      </c>
      <c r="D111" t="s">
        <v>178</v>
      </c>
      <c r="E111" t="s">
        <v>10</v>
      </c>
      <c r="F111" t="s">
        <v>29</v>
      </c>
      <c r="G111" s="1">
        <v>0</v>
      </c>
      <c r="H111" s="4">
        <v>43679</v>
      </c>
      <c r="I111" s="4" t="str">
        <f t="shared" si="4"/>
        <v>Aug</v>
      </c>
      <c r="J111" s="3">
        <v>1</v>
      </c>
      <c r="K111" t="s">
        <v>12</v>
      </c>
      <c r="L111" t="s">
        <v>511</v>
      </c>
      <c r="M111" t="str">
        <f t="shared" si="5"/>
        <v>full time</v>
      </c>
      <c r="N111" t="str">
        <f t="shared" si="3"/>
        <v>Available</v>
      </c>
    </row>
    <row r="112" spans="3:14" x14ac:dyDescent="0.3">
      <c r="C112" t="s">
        <v>377</v>
      </c>
      <c r="D112" t="s">
        <v>378</v>
      </c>
      <c r="E112" t="s">
        <v>13</v>
      </c>
      <c r="F112" t="s">
        <v>39</v>
      </c>
      <c r="G112" s="1">
        <f>MEDIAN(G1:G42)</f>
        <v>69913.39</v>
      </c>
      <c r="H112" s="4">
        <v>43899</v>
      </c>
      <c r="I112" s="4" t="str">
        <f t="shared" si="4"/>
        <v>Mar</v>
      </c>
      <c r="J112" s="3">
        <v>1</v>
      </c>
      <c r="K112" t="s">
        <v>335</v>
      </c>
      <c r="L112" t="s">
        <v>507</v>
      </c>
      <c r="M112" t="str">
        <f t="shared" si="5"/>
        <v>full time</v>
      </c>
      <c r="N112" t="str">
        <f t="shared" si="3"/>
        <v>Available</v>
      </c>
    </row>
    <row r="113" spans="3:14" x14ac:dyDescent="0.3">
      <c r="C113" t="s">
        <v>288</v>
      </c>
      <c r="D113" t="s">
        <v>289</v>
      </c>
      <c r="E113" t="s">
        <v>13</v>
      </c>
      <c r="F113" t="s">
        <v>28</v>
      </c>
      <c r="G113" s="1">
        <v>89838.77</v>
      </c>
      <c r="H113" s="4">
        <v>43602</v>
      </c>
      <c r="I113" s="4" t="str">
        <f t="shared" si="4"/>
        <v>May</v>
      </c>
      <c r="J113" s="3">
        <v>1</v>
      </c>
      <c r="K113" t="s">
        <v>12</v>
      </c>
      <c r="L113" t="s">
        <v>511</v>
      </c>
      <c r="M113" t="str">
        <f t="shared" si="5"/>
        <v>full time</v>
      </c>
      <c r="N113" t="str">
        <f t="shared" si="3"/>
        <v>Available</v>
      </c>
    </row>
    <row r="114" spans="3:14" x14ac:dyDescent="0.3">
      <c r="C114" t="s">
        <v>184</v>
      </c>
      <c r="D114" t="s">
        <v>185</v>
      </c>
      <c r="E114" t="s">
        <v>13</v>
      </c>
      <c r="F114" t="s">
        <v>28</v>
      </c>
      <c r="G114" s="1">
        <v>0</v>
      </c>
      <c r="H114" s="4">
        <v>44462</v>
      </c>
      <c r="I114" s="4" t="str">
        <f t="shared" si="4"/>
        <v>Sep</v>
      </c>
      <c r="J114" s="3">
        <v>1</v>
      </c>
      <c r="K114" t="s">
        <v>12</v>
      </c>
      <c r="L114" t="s">
        <v>510</v>
      </c>
      <c r="M114" t="str">
        <f t="shared" si="5"/>
        <v>full time</v>
      </c>
      <c r="N114" t="str">
        <f t="shared" si="3"/>
        <v>Available</v>
      </c>
    </row>
    <row r="115" spans="3:14" x14ac:dyDescent="0.3">
      <c r="C115" t="s">
        <v>220</v>
      </c>
      <c r="D115" t="s">
        <v>221</v>
      </c>
      <c r="E115" t="s">
        <v>10</v>
      </c>
      <c r="F115" t="s">
        <v>39</v>
      </c>
      <c r="G115" s="1">
        <v>68887.839999999997</v>
      </c>
      <c r="H115" s="4">
        <v>43297</v>
      </c>
      <c r="I115" s="4" t="str">
        <f t="shared" si="4"/>
        <v>Jul</v>
      </c>
      <c r="J115" s="3">
        <v>1</v>
      </c>
      <c r="K115" t="s">
        <v>12</v>
      </c>
      <c r="L115" t="s">
        <v>511</v>
      </c>
      <c r="M115" t="str">
        <f t="shared" si="5"/>
        <v>full time</v>
      </c>
      <c r="N115" t="str">
        <f t="shared" si="3"/>
        <v>Available</v>
      </c>
    </row>
    <row r="116" spans="3:14" x14ac:dyDescent="0.3">
      <c r="C116" t="s">
        <v>149</v>
      </c>
      <c r="D116" t="s">
        <v>100</v>
      </c>
      <c r="E116" t="s">
        <v>10</v>
      </c>
      <c r="F116" t="s">
        <v>25</v>
      </c>
      <c r="G116" s="1">
        <v>89690.38</v>
      </c>
      <c r="H116" s="4">
        <v>43213</v>
      </c>
      <c r="I116" s="4" t="str">
        <f t="shared" si="4"/>
        <v>Apr</v>
      </c>
      <c r="J116" s="3">
        <v>1</v>
      </c>
      <c r="K116" t="s">
        <v>12</v>
      </c>
      <c r="L116" t="s">
        <v>509</v>
      </c>
      <c r="M116" t="str">
        <f t="shared" si="5"/>
        <v>full time</v>
      </c>
      <c r="N116" t="str">
        <f t="shared" si="3"/>
        <v>Available</v>
      </c>
    </row>
    <row r="117" spans="3:14" x14ac:dyDescent="0.3">
      <c r="C117" t="s">
        <v>247</v>
      </c>
      <c r="D117" t="s">
        <v>248</v>
      </c>
      <c r="E117" t="s">
        <v>13</v>
      </c>
      <c r="F117" t="s">
        <v>15</v>
      </c>
      <c r="G117" s="1">
        <v>111229.47</v>
      </c>
      <c r="H117" s="4">
        <v>43402</v>
      </c>
      <c r="I117" s="4" t="str">
        <f t="shared" si="4"/>
        <v>Oct</v>
      </c>
      <c r="J117" s="3">
        <v>1</v>
      </c>
      <c r="K117" t="s">
        <v>12</v>
      </c>
      <c r="L117" t="s">
        <v>511</v>
      </c>
      <c r="M117" t="str">
        <f t="shared" si="5"/>
        <v>full time</v>
      </c>
      <c r="N117" t="str">
        <f t="shared" si="3"/>
        <v>Available</v>
      </c>
    </row>
    <row r="118" spans="3:14" x14ac:dyDescent="0.3">
      <c r="C118" t="s">
        <v>286</v>
      </c>
      <c r="D118" t="s">
        <v>287</v>
      </c>
      <c r="E118" t="s">
        <v>13</v>
      </c>
      <c r="F118" t="s">
        <v>39</v>
      </c>
      <c r="G118" s="1">
        <v>67633.850000000006</v>
      </c>
      <c r="H118" s="4">
        <v>43340</v>
      </c>
      <c r="I118" s="4" t="str">
        <f t="shared" si="4"/>
        <v>Aug</v>
      </c>
      <c r="J118" s="3">
        <v>1</v>
      </c>
      <c r="K118" t="s">
        <v>12</v>
      </c>
      <c r="L118" t="s">
        <v>507</v>
      </c>
      <c r="M118" t="str">
        <f t="shared" si="5"/>
        <v>full time</v>
      </c>
      <c r="N118" t="str">
        <f t="shared" si="3"/>
        <v>Available</v>
      </c>
    </row>
    <row r="119" spans="3:14" x14ac:dyDescent="0.3">
      <c r="C119" t="s">
        <v>464</v>
      </c>
      <c r="D119" t="s">
        <v>465</v>
      </c>
      <c r="E119" t="s">
        <v>13</v>
      </c>
      <c r="F119" t="s">
        <v>25</v>
      </c>
      <c r="G119" s="1">
        <v>111815.49</v>
      </c>
      <c r="H119" s="4">
        <v>43954</v>
      </c>
      <c r="I119" s="4" t="str">
        <f t="shared" si="4"/>
        <v>May</v>
      </c>
      <c r="J119" s="3">
        <v>0.7</v>
      </c>
      <c r="K119" t="s">
        <v>420</v>
      </c>
      <c r="L119" t="s">
        <v>511</v>
      </c>
      <c r="M119" t="str">
        <f t="shared" si="5"/>
        <v>part time</v>
      </c>
      <c r="N119" t="str">
        <f t="shared" si="3"/>
        <v>Available</v>
      </c>
    </row>
    <row r="120" spans="3:14" x14ac:dyDescent="0.3">
      <c r="C120" t="s">
        <v>336</v>
      </c>
      <c r="D120" t="s">
        <v>337</v>
      </c>
      <c r="E120" t="s">
        <v>13</v>
      </c>
      <c r="F120" t="s">
        <v>19</v>
      </c>
      <c r="G120" s="1">
        <v>39784.239999999998</v>
      </c>
      <c r="H120" s="4">
        <v>43465</v>
      </c>
      <c r="I120" s="4" t="str">
        <f t="shared" si="4"/>
        <v>Dec</v>
      </c>
      <c r="J120" s="3">
        <v>1</v>
      </c>
      <c r="K120" t="s">
        <v>335</v>
      </c>
      <c r="L120" t="s">
        <v>510</v>
      </c>
      <c r="M120" t="str">
        <f t="shared" si="5"/>
        <v>full time</v>
      </c>
      <c r="N120" t="str">
        <f t="shared" si="3"/>
        <v>Available</v>
      </c>
    </row>
    <row r="121" spans="3:14" x14ac:dyDescent="0.3">
      <c r="C121" t="s">
        <v>452</v>
      </c>
      <c r="D121" t="s">
        <v>453</v>
      </c>
      <c r="E121" t="s">
        <v>10</v>
      </c>
      <c r="F121" t="s">
        <v>15</v>
      </c>
      <c r="G121" s="1">
        <v>89829.33</v>
      </c>
      <c r="H121" s="4">
        <v>43794</v>
      </c>
      <c r="I121" s="4" t="str">
        <f t="shared" si="4"/>
        <v>Nov</v>
      </c>
      <c r="J121" s="3">
        <v>1</v>
      </c>
      <c r="K121" t="s">
        <v>420</v>
      </c>
      <c r="L121" t="s">
        <v>510</v>
      </c>
      <c r="M121" t="str">
        <f t="shared" si="5"/>
        <v>full time</v>
      </c>
      <c r="N121" t="str">
        <f t="shared" si="3"/>
        <v>Available</v>
      </c>
    </row>
    <row r="122" spans="3:14" x14ac:dyDescent="0.3">
      <c r="C122" t="s">
        <v>355</v>
      </c>
      <c r="D122" t="s">
        <v>356</v>
      </c>
      <c r="E122" t="s">
        <v>13</v>
      </c>
      <c r="F122" t="s">
        <v>28</v>
      </c>
      <c r="G122" s="1">
        <v>72843.23</v>
      </c>
      <c r="H122" s="4">
        <v>43280</v>
      </c>
      <c r="I122" s="4" t="str">
        <f t="shared" si="4"/>
        <v>Jun</v>
      </c>
      <c r="J122" s="3">
        <v>1</v>
      </c>
      <c r="K122" t="s">
        <v>335</v>
      </c>
      <c r="L122" t="s">
        <v>505</v>
      </c>
      <c r="M122" t="str">
        <f t="shared" si="5"/>
        <v>full time</v>
      </c>
      <c r="N122" t="str">
        <f t="shared" si="3"/>
        <v>Available</v>
      </c>
    </row>
    <row r="123" spans="3:14" x14ac:dyDescent="0.3">
      <c r="C123" t="s">
        <v>304</v>
      </c>
      <c r="D123" t="s">
        <v>183</v>
      </c>
      <c r="E123" t="s">
        <v>13</v>
      </c>
      <c r="F123" t="s">
        <v>19</v>
      </c>
      <c r="G123" s="1">
        <v>88511.17</v>
      </c>
      <c r="H123" s="4">
        <v>43950</v>
      </c>
      <c r="I123" s="4" t="str">
        <f t="shared" si="4"/>
        <v>Apr</v>
      </c>
      <c r="J123" s="3">
        <v>1</v>
      </c>
      <c r="K123" t="s">
        <v>12</v>
      </c>
      <c r="L123" t="s">
        <v>507</v>
      </c>
      <c r="M123" t="str">
        <f t="shared" si="5"/>
        <v>full time</v>
      </c>
      <c r="N123" t="str">
        <f t="shared" si="3"/>
        <v>Available</v>
      </c>
    </row>
    <row r="124" spans="3:14" x14ac:dyDescent="0.3">
      <c r="C124" t="s">
        <v>70</v>
      </c>
      <c r="D124" t="s">
        <v>71</v>
      </c>
      <c r="E124" t="s">
        <v>13</v>
      </c>
      <c r="F124" t="s">
        <v>39</v>
      </c>
      <c r="G124" s="1">
        <v>36547.58</v>
      </c>
      <c r="H124" s="4">
        <v>43445</v>
      </c>
      <c r="I124" s="4" t="str">
        <f t="shared" si="4"/>
        <v>Dec</v>
      </c>
      <c r="J124" s="3">
        <v>1</v>
      </c>
      <c r="K124" t="s">
        <v>12</v>
      </c>
      <c r="L124" t="s">
        <v>511</v>
      </c>
      <c r="M124" t="str">
        <f t="shared" si="5"/>
        <v>full time</v>
      </c>
      <c r="N124" t="str">
        <f t="shared" si="3"/>
        <v>Available</v>
      </c>
    </row>
    <row r="125" spans="3:14" x14ac:dyDescent="0.3">
      <c r="C125" t="s">
        <v>78</v>
      </c>
      <c r="D125" t="s">
        <v>79</v>
      </c>
      <c r="E125" t="s">
        <v>13</v>
      </c>
      <c r="F125" t="s">
        <v>39</v>
      </c>
      <c r="G125" s="1">
        <v>95954.02</v>
      </c>
      <c r="H125" s="4">
        <v>43803</v>
      </c>
      <c r="I125" s="4" t="str">
        <f t="shared" si="4"/>
        <v>Dec</v>
      </c>
      <c r="J125" s="3">
        <v>0.3</v>
      </c>
      <c r="K125" t="s">
        <v>12</v>
      </c>
      <c r="L125" t="s">
        <v>509</v>
      </c>
      <c r="M125" t="str">
        <f t="shared" si="5"/>
        <v>part time</v>
      </c>
      <c r="N125" t="str">
        <f t="shared" si="3"/>
        <v>Available</v>
      </c>
    </row>
    <row r="126" spans="3:14" x14ac:dyDescent="0.3">
      <c r="C126" t="s">
        <v>234</v>
      </c>
      <c r="D126" t="s">
        <v>235</v>
      </c>
      <c r="E126" t="s">
        <v>10</v>
      </c>
      <c r="F126" t="s">
        <v>11</v>
      </c>
      <c r="G126" s="1">
        <v>95677.9</v>
      </c>
      <c r="H126" s="4">
        <v>44396</v>
      </c>
      <c r="I126" s="4" t="str">
        <f t="shared" si="4"/>
        <v>Jul</v>
      </c>
      <c r="J126" s="3">
        <v>0.3</v>
      </c>
      <c r="K126" t="s">
        <v>12</v>
      </c>
      <c r="L126" t="s">
        <v>510</v>
      </c>
      <c r="M126" t="str">
        <f t="shared" si="5"/>
        <v>part time</v>
      </c>
      <c r="N126" t="str">
        <f t="shared" si="3"/>
        <v>Available</v>
      </c>
    </row>
    <row r="127" spans="3:14" x14ac:dyDescent="0.3">
      <c r="C127" t="s">
        <v>403</v>
      </c>
      <c r="D127" t="s">
        <v>122</v>
      </c>
      <c r="E127" t="s">
        <v>10</v>
      </c>
      <c r="F127" t="s">
        <v>39</v>
      </c>
      <c r="G127" s="1">
        <v>76303.820000000007</v>
      </c>
      <c r="H127" s="4">
        <v>43458</v>
      </c>
      <c r="I127" s="4" t="str">
        <f t="shared" si="4"/>
        <v>Dec</v>
      </c>
      <c r="J127" s="3">
        <v>1</v>
      </c>
      <c r="K127" t="s">
        <v>335</v>
      </c>
      <c r="L127" t="s">
        <v>509</v>
      </c>
      <c r="M127" t="str">
        <f t="shared" si="5"/>
        <v>full time</v>
      </c>
      <c r="N127" t="str">
        <f t="shared" si="3"/>
        <v>Available</v>
      </c>
    </row>
    <row r="128" spans="3:14" x14ac:dyDescent="0.3">
      <c r="C128" t="s">
        <v>261</v>
      </c>
      <c r="D128" t="s">
        <v>262</v>
      </c>
      <c r="E128" t="s">
        <v>10</v>
      </c>
      <c r="F128" t="s">
        <v>29</v>
      </c>
      <c r="G128" s="1">
        <f>MEDIAN(G1:G42)</f>
        <v>69913.39</v>
      </c>
      <c r="H128" s="4">
        <v>43538</v>
      </c>
      <c r="I128" s="4" t="str">
        <f t="shared" si="4"/>
        <v>Mar</v>
      </c>
      <c r="J128" s="3">
        <v>1</v>
      </c>
      <c r="K128" t="s">
        <v>12</v>
      </c>
      <c r="L128" t="s">
        <v>506</v>
      </c>
      <c r="M128" t="str">
        <f t="shared" si="5"/>
        <v>full time</v>
      </c>
      <c r="N128" t="str">
        <f t="shared" si="3"/>
        <v>Available</v>
      </c>
    </row>
    <row r="129" spans="3:14" x14ac:dyDescent="0.3">
      <c r="C129" t="s">
        <v>294</v>
      </c>
      <c r="D129" t="s">
        <v>295</v>
      </c>
      <c r="E129" t="s">
        <v>13</v>
      </c>
      <c r="F129" t="s">
        <v>28</v>
      </c>
      <c r="G129" s="1">
        <v>99460.78</v>
      </c>
      <c r="H129" s="4">
        <v>43956</v>
      </c>
      <c r="I129" s="4" t="str">
        <f t="shared" si="4"/>
        <v>May</v>
      </c>
      <c r="J129" s="3">
        <v>1</v>
      </c>
      <c r="K129" t="s">
        <v>12</v>
      </c>
      <c r="L129" t="s">
        <v>511</v>
      </c>
      <c r="M129" t="str">
        <f t="shared" si="5"/>
        <v>full time</v>
      </c>
      <c r="N129" t="str">
        <f t="shared" si="3"/>
        <v>Available</v>
      </c>
    </row>
    <row r="130" spans="3:14" x14ac:dyDescent="0.3">
      <c r="C130" t="s">
        <v>279</v>
      </c>
      <c r="D130" t="s">
        <v>240</v>
      </c>
      <c r="E130" t="s">
        <v>10</v>
      </c>
      <c r="F130" t="s">
        <v>38</v>
      </c>
      <c r="G130" s="1">
        <v>88034.67</v>
      </c>
      <c r="H130" s="4">
        <v>43669</v>
      </c>
      <c r="I130" s="4" t="str">
        <f t="shared" si="4"/>
        <v>Jul</v>
      </c>
      <c r="J130" s="3">
        <v>1</v>
      </c>
      <c r="K130" t="s">
        <v>12</v>
      </c>
      <c r="L130" t="s">
        <v>511</v>
      </c>
      <c r="M130" t="str">
        <f t="shared" si="5"/>
        <v>full time</v>
      </c>
      <c r="N130" t="str">
        <f t="shared" ref="N130:N193" si="6">IF(UPPER(TRIM(F130&amp;""))="NULL","Missing","Available")</f>
        <v>Available</v>
      </c>
    </row>
    <row r="131" spans="3:14" x14ac:dyDescent="0.3">
      <c r="C131" t="s">
        <v>151</v>
      </c>
      <c r="D131" t="s">
        <v>152</v>
      </c>
      <c r="E131" t="s">
        <v>10</v>
      </c>
      <c r="F131" t="s">
        <v>29</v>
      </c>
      <c r="G131" s="1">
        <v>44447.26</v>
      </c>
      <c r="H131" s="4">
        <v>43846</v>
      </c>
      <c r="I131" s="4" t="str">
        <f t="shared" ref="I131:I194" si="7">TEXT(H131,"mmm")</f>
        <v>Jan</v>
      </c>
      <c r="J131" s="3">
        <v>0.4</v>
      </c>
      <c r="K131" t="s">
        <v>12</v>
      </c>
      <c r="L131" t="s">
        <v>508</v>
      </c>
      <c r="M131" t="str">
        <f t="shared" ref="M131:M194" si="8">IF(J131&lt;1,"part time","full time")</f>
        <v>part time</v>
      </c>
      <c r="N131" t="str">
        <f t="shared" si="6"/>
        <v>Available</v>
      </c>
    </row>
    <row r="132" spans="3:14" x14ac:dyDescent="0.3">
      <c r="C132" t="s">
        <v>179</v>
      </c>
      <c r="D132" t="s">
        <v>180</v>
      </c>
      <c r="E132" t="s">
        <v>13</v>
      </c>
      <c r="F132" t="s">
        <v>15</v>
      </c>
      <c r="G132" s="1">
        <v>40445.29</v>
      </c>
      <c r="H132" s="4">
        <v>44393</v>
      </c>
      <c r="I132" s="4" t="str">
        <f t="shared" si="7"/>
        <v>Jul</v>
      </c>
      <c r="J132" s="3">
        <v>1</v>
      </c>
      <c r="K132" t="s">
        <v>12</v>
      </c>
      <c r="L132" t="s">
        <v>510</v>
      </c>
      <c r="M132" t="str">
        <f t="shared" si="8"/>
        <v>full time</v>
      </c>
      <c r="N132" t="str">
        <f t="shared" si="6"/>
        <v>Available</v>
      </c>
    </row>
    <row r="133" spans="3:14" x14ac:dyDescent="0.3">
      <c r="C133" t="s">
        <v>118</v>
      </c>
      <c r="D133" t="s">
        <v>119</v>
      </c>
      <c r="E133" t="s">
        <v>10</v>
      </c>
      <c r="F133" t="s">
        <v>29</v>
      </c>
      <c r="G133" s="1">
        <v>92336.08</v>
      </c>
      <c r="H133" s="4">
        <v>44431</v>
      </c>
      <c r="I133" s="4" t="str">
        <f t="shared" si="7"/>
        <v>Aug</v>
      </c>
      <c r="J133" s="3">
        <v>1</v>
      </c>
      <c r="K133" t="s">
        <v>12</v>
      </c>
      <c r="L133" t="s">
        <v>509</v>
      </c>
      <c r="M133" t="str">
        <f t="shared" si="8"/>
        <v>full time</v>
      </c>
      <c r="N133" t="str">
        <f t="shared" si="6"/>
        <v>Available</v>
      </c>
    </row>
    <row r="134" spans="3:14" x14ac:dyDescent="0.3">
      <c r="C134" t="s">
        <v>157</v>
      </c>
      <c r="D134" t="s">
        <v>158</v>
      </c>
      <c r="E134" t="s">
        <v>10</v>
      </c>
      <c r="F134" t="s">
        <v>32</v>
      </c>
      <c r="G134" s="1">
        <v>68008.55</v>
      </c>
      <c r="H134" s="4">
        <v>44062</v>
      </c>
      <c r="I134" s="4" t="str">
        <f t="shared" si="7"/>
        <v>Aug</v>
      </c>
      <c r="J134" s="3">
        <v>1</v>
      </c>
      <c r="K134" t="s">
        <v>12</v>
      </c>
      <c r="L134" t="s">
        <v>506</v>
      </c>
      <c r="M134" t="str">
        <f t="shared" si="8"/>
        <v>full time</v>
      </c>
      <c r="N134" t="str">
        <f t="shared" si="6"/>
        <v>Available</v>
      </c>
    </row>
    <row r="135" spans="3:14" x14ac:dyDescent="0.3">
      <c r="C135" t="s">
        <v>153</v>
      </c>
      <c r="D135" t="s">
        <v>154</v>
      </c>
      <c r="E135" t="s">
        <v>13</v>
      </c>
      <c r="F135" t="s">
        <v>15</v>
      </c>
      <c r="G135" s="1">
        <v>74924.649999999994</v>
      </c>
      <c r="H135" s="4">
        <v>44532</v>
      </c>
      <c r="I135" s="4" t="str">
        <f t="shared" si="7"/>
        <v>Dec</v>
      </c>
      <c r="J135" s="3">
        <v>1</v>
      </c>
      <c r="K135" t="s">
        <v>12</v>
      </c>
      <c r="L135" t="s">
        <v>509</v>
      </c>
      <c r="M135" t="str">
        <f t="shared" si="8"/>
        <v>full time</v>
      </c>
      <c r="N135" t="str">
        <f t="shared" si="6"/>
        <v>Available</v>
      </c>
    </row>
    <row r="136" spans="3:14" x14ac:dyDescent="0.3">
      <c r="C136" t="s">
        <v>323</v>
      </c>
      <c r="D136" t="s">
        <v>324</v>
      </c>
      <c r="E136" t="s">
        <v>13</v>
      </c>
      <c r="F136" t="s">
        <v>38</v>
      </c>
      <c r="G136" s="1">
        <f>MEDIAN(G9:G50)</f>
        <v>68399.33</v>
      </c>
      <c r="H136" s="4">
        <v>43724</v>
      </c>
      <c r="I136" s="4" t="str">
        <f t="shared" si="7"/>
        <v>Sep</v>
      </c>
      <c r="J136" s="3">
        <v>0.2</v>
      </c>
      <c r="K136" t="s">
        <v>12</v>
      </c>
      <c r="L136" t="s">
        <v>506</v>
      </c>
      <c r="M136" t="str">
        <f t="shared" si="8"/>
        <v>part time</v>
      </c>
      <c r="N136" t="str">
        <f t="shared" si="6"/>
        <v>Available</v>
      </c>
    </row>
    <row r="137" spans="3:14" x14ac:dyDescent="0.3">
      <c r="C137" t="s">
        <v>309</v>
      </c>
      <c r="D137" t="s">
        <v>310</v>
      </c>
      <c r="E137" t="s">
        <v>13</v>
      </c>
      <c r="F137" t="s">
        <v>25</v>
      </c>
      <c r="G137" s="1">
        <v>88689.09</v>
      </c>
      <c r="H137" s="4">
        <v>43506</v>
      </c>
      <c r="I137" s="4" t="str">
        <f t="shared" si="7"/>
        <v>Feb</v>
      </c>
      <c r="J137" s="3">
        <v>1</v>
      </c>
      <c r="K137" t="s">
        <v>12</v>
      </c>
      <c r="L137" t="s">
        <v>508</v>
      </c>
      <c r="M137" t="str">
        <f t="shared" si="8"/>
        <v>full time</v>
      </c>
      <c r="N137" t="str">
        <f t="shared" si="6"/>
        <v>Available</v>
      </c>
    </row>
    <row r="138" spans="3:14" x14ac:dyDescent="0.3">
      <c r="C138" t="s">
        <v>425</v>
      </c>
      <c r="D138" t="s">
        <v>426</v>
      </c>
      <c r="E138" t="s">
        <v>10</v>
      </c>
      <c r="F138" t="s">
        <v>29</v>
      </c>
      <c r="G138" s="1">
        <v>96555.53</v>
      </c>
      <c r="H138" s="4">
        <v>43489</v>
      </c>
      <c r="I138" s="4" t="str">
        <f t="shared" si="7"/>
        <v>Jan</v>
      </c>
      <c r="J138" s="3">
        <v>0.2</v>
      </c>
      <c r="K138" t="s">
        <v>420</v>
      </c>
      <c r="L138" t="s">
        <v>509</v>
      </c>
      <c r="M138" t="str">
        <f t="shared" si="8"/>
        <v>part time</v>
      </c>
      <c r="N138" t="str">
        <f t="shared" si="6"/>
        <v>Available</v>
      </c>
    </row>
    <row r="139" spans="3:14" x14ac:dyDescent="0.3">
      <c r="C139" t="s">
        <v>257</v>
      </c>
      <c r="D139" t="s">
        <v>258</v>
      </c>
      <c r="E139" t="s">
        <v>10</v>
      </c>
      <c r="F139" t="s">
        <v>38</v>
      </c>
      <c r="G139" s="1">
        <v>71924.850000000006</v>
      </c>
      <c r="H139" s="4">
        <v>43822</v>
      </c>
      <c r="I139" s="4" t="str">
        <f t="shared" si="7"/>
        <v>Dec</v>
      </c>
      <c r="J139" s="3">
        <v>1</v>
      </c>
      <c r="K139" t="s">
        <v>12</v>
      </c>
      <c r="L139" t="s">
        <v>510</v>
      </c>
      <c r="M139" t="str">
        <f t="shared" si="8"/>
        <v>full time</v>
      </c>
      <c r="N139" t="str">
        <f t="shared" si="6"/>
        <v>Available</v>
      </c>
    </row>
    <row r="140" spans="3:14" x14ac:dyDescent="0.3">
      <c r="C140" t="s">
        <v>173</v>
      </c>
      <c r="D140" t="s">
        <v>174</v>
      </c>
      <c r="E140" t="s">
        <v>13</v>
      </c>
      <c r="F140" t="s">
        <v>15</v>
      </c>
      <c r="G140" s="1">
        <v>31241.24</v>
      </c>
      <c r="H140" s="4">
        <v>43725</v>
      </c>
      <c r="I140" s="4" t="str">
        <f t="shared" si="7"/>
        <v>Sep</v>
      </c>
      <c r="J140" s="3">
        <v>1</v>
      </c>
      <c r="K140" t="s">
        <v>12</v>
      </c>
      <c r="L140" t="s">
        <v>511</v>
      </c>
      <c r="M140" t="str">
        <f t="shared" si="8"/>
        <v>full time</v>
      </c>
      <c r="N140" t="str">
        <f t="shared" si="6"/>
        <v>Available</v>
      </c>
    </row>
    <row r="141" spans="3:14" x14ac:dyDescent="0.3">
      <c r="C141" t="s">
        <v>127</v>
      </c>
      <c r="D141" t="s">
        <v>128</v>
      </c>
      <c r="E141" t="s">
        <v>13</v>
      </c>
      <c r="F141" t="s">
        <v>19</v>
      </c>
      <c r="G141" s="1">
        <v>110042.37</v>
      </c>
      <c r="H141" s="4">
        <v>43914</v>
      </c>
      <c r="I141" s="4" t="str">
        <f t="shared" si="7"/>
        <v>Mar</v>
      </c>
      <c r="J141" s="3">
        <v>1</v>
      </c>
      <c r="K141" t="s">
        <v>12</v>
      </c>
      <c r="L141" t="s">
        <v>507</v>
      </c>
      <c r="M141" t="str">
        <f t="shared" si="8"/>
        <v>full time</v>
      </c>
      <c r="N141" t="str">
        <f t="shared" si="6"/>
        <v>Available</v>
      </c>
    </row>
    <row r="142" spans="3:14" x14ac:dyDescent="0.3">
      <c r="C142" t="s">
        <v>329</v>
      </c>
      <c r="D142" t="s">
        <v>330</v>
      </c>
      <c r="E142" t="s">
        <v>10</v>
      </c>
      <c r="F142" t="s">
        <v>19</v>
      </c>
      <c r="G142" s="1">
        <v>33031.26</v>
      </c>
      <c r="H142" s="4">
        <v>43525</v>
      </c>
      <c r="I142" s="4" t="str">
        <f t="shared" si="7"/>
        <v>Mar</v>
      </c>
      <c r="J142" s="3">
        <v>0.4</v>
      </c>
      <c r="K142" t="s">
        <v>12</v>
      </c>
      <c r="L142" t="s">
        <v>509</v>
      </c>
      <c r="M142" t="str">
        <f t="shared" si="8"/>
        <v>part time</v>
      </c>
      <c r="N142" t="str">
        <f t="shared" si="6"/>
        <v>Available</v>
      </c>
    </row>
    <row r="143" spans="3:14" x14ac:dyDescent="0.3">
      <c r="C143" t="s">
        <v>433</v>
      </c>
      <c r="D143" t="s">
        <v>434</v>
      </c>
      <c r="E143" t="s">
        <v>10</v>
      </c>
      <c r="F143" t="s">
        <v>28</v>
      </c>
      <c r="G143" s="1">
        <v>32496.880000000001</v>
      </c>
      <c r="H143" s="4">
        <v>43234</v>
      </c>
      <c r="I143" s="4" t="str">
        <f t="shared" si="7"/>
        <v>May</v>
      </c>
      <c r="J143" s="3">
        <v>1</v>
      </c>
      <c r="K143" t="s">
        <v>420</v>
      </c>
      <c r="L143" t="s">
        <v>511</v>
      </c>
      <c r="M143" t="str">
        <f t="shared" si="8"/>
        <v>full time</v>
      </c>
      <c r="N143" t="str">
        <f t="shared" si="6"/>
        <v>Available</v>
      </c>
    </row>
    <row r="144" spans="3:14" x14ac:dyDescent="0.3">
      <c r="C144" t="s">
        <v>86</v>
      </c>
      <c r="D144" t="s">
        <v>87</v>
      </c>
      <c r="E144" t="s">
        <v>10</v>
      </c>
      <c r="F144" t="s">
        <v>25</v>
      </c>
      <c r="G144" s="1">
        <v>81897.789999999994</v>
      </c>
      <c r="H144" s="4">
        <v>43146</v>
      </c>
      <c r="I144" s="4" t="str">
        <f t="shared" si="7"/>
        <v>Feb</v>
      </c>
      <c r="J144" s="3">
        <v>1</v>
      </c>
      <c r="K144" t="s">
        <v>12</v>
      </c>
      <c r="L144" t="s">
        <v>506</v>
      </c>
      <c r="M144" t="str">
        <f t="shared" si="8"/>
        <v>full time</v>
      </c>
      <c r="N144" t="str">
        <f t="shared" si="6"/>
        <v>Available</v>
      </c>
    </row>
    <row r="145" spans="3:14" x14ac:dyDescent="0.3">
      <c r="C145" t="s">
        <v>218</v>
      </c>
      <c r="D145" t="s">
        <v>219</v>
      </c>
      <c r="E145" t="s">
        <v>13</v>
      </c>
      <c r="F145" t="s">
        <v>16</v>
      </c>
      <c r="G145" s="1">
        <v>108872.77</v>
      </c>
      <c r="H145" s="4">
        <v>43521</v>
      </c>
      <c r="I145" s="4" t="str">
        <f t="shared" si="7"/>
        <v>Feb</v>
      </c>
      <c r="J145" s="3">
        <v>1</v>
      </c>
      <c r="K145" t="s">
        <v>12</v>
      </c>
      <c r="L145" t="s">
        <v>511</v>
      </c>
      <c r="M145" t="str">
        <f t="shared" si="8"/>
        <v>full time</v>
      </c>
      <c r="N145" t="str">
        <f t="shared" si="6"/>
        <v>Available</v>
      </c>
    </row>
    <row r="146" spans="3:14" x14ac:dyDescent="0.3">
      <c r="C146" t="s">
        <v>208</v>
      </c>
      <c r="D146" t="s">
        <v>209</v>
      </c>
      <c r="E146" t="s">
        <v>13</v>
      </c>
      <c r="F146" t="s">
        <v>32</v>
      </c>
      <c r="G146" s="1">
        <v>89605.13</v>
      </c>
      <c r="H146" s="4">
        <v>43287</v>
      </c>
      <c r="I146" s="4" t="str">
        <f t="shared" si="7"/>
        <v>Jul</v>
      </c>
      <c r="J146" s="3">
        <v>1</v>
      </c>
      <c r="K146" t="s">
        <v>12</v>
      </c>
      <c r="L146" t="s">
        <v>508</v>
      </c>
      <c r="M146" t="str">
        <f t="shared" si="8"/>
        <v>full time</v>
      </c>
      <c r="N146" t="str">
        <f t="shared" si="6"/>
        <v>Available</v>
      </c>
    </row>
    <row r="147" spans="3:14" x14ac:dyDescent="0.3">
      <c r="C147" t="s">
        <v>454</v>
      </c>
      <c r="D147" t="s">
        <v>455</v>
      </c>
      <c r="E147" t="s">
        <v>13</v>
      </c>
      <c r="F147" t="s">
        <v>28</v>
      </c>
      <c r="G147" s="1">
        <v>63447.07</v>
      </c>
      <c r="H147" s="4">
        <v>44148</v>
      </c>
      <c r="I147" s="4" t="str">
        <f t="shared" si="7"/>
        <v>Nov</v>
      </c>
      <c r="J147" s="3">
        <v>1</v>
      </c>
      <c r="K147" t="s">
        <v>420</v>
      </c>
      <c r="L147" t="s">
        <v>505</v>
      </c>
      <c r="M147" t="str">
        <f t="shared" si="8"/>
        <v>full time</v>
      </c>
      <c r="N147" t="str">
        <f t="shared" si="6"/>
        <v>Available</v>
      </c>
    </row>
    <row r="148" spans="3:14" x14ac:dyDescent="0.3">
      <c r="C148" t="s">
        <v>480</v>
      </c>
      <c r="D148" t="s">
        <v>481</v>
      </c>
      <c r="E148" t="s">
        <v>10</v>
      </c>
      <c r="F148" t="s">
        <v>15</v>
      </c>
      <c r="G148" s="1">
        <v>106665.67</v>
      </c>
      <c r="H148" s="4">
        <v>43311</v>
      </c>
      <c r="I148" s="4" t="str">
        <f t="shared" si="7"/>
        <v>Jul</v>
      </c>
      <c r="J148" s="3">
        <v>1</v>
      </c>
      <c r="K148" t="s">
        <v>420</v>
      </c>
      <c r="L148" t="s">
        <v>507</v>
      </c>
      <c r="M148" t="str">
        <f t="shared" si="8"/>
        <v>full time</v>
      </c>
      <c r="N148" t="str">
        <f t="shared" si="6"/>
        <v>Available</v>
      </c>
    </row>
    <row r="149" spans="3:14" x14ac:dyDescent="0.3">
      <c r="C149" t="s">
        <v>253</v>
      </c>
      <c r="D149" t="s">
        <v>254</v>
      </c>
      <c r="E149" t="s">
        <v>13</v>
      </c>
      <c r="F149" t="s">
        <v>25</v>
      </c>
      <c r="G149" s="1">
        <v>100424.23</v>
      </c>
      <c r="H149" s="4">
        <v>43508</v>
      </c>
      <c r="I149" s="4" t="str">
        <f t="shared" si="7"/>
        <v>Feb</v>
      </c>
      <c r="J149" s="3">
        <v>1</v>
      </c>
      <c r="K149" t="s">
        <v>12</v>
      </c>
      <c r="L149" t="s">
        <v>506</v>
      </c>
      <c r="M149" t="str">
        <f t="shared" si="8"/>
        <v>full time</v>
      </c>
      <c r="N149" t="str">
        <f t="shared" si="6"/>
        <v>Available</v>
      </c>
    </row>
    <row r="150" spans="3:14" x14ac:dyDescent="0.3">
      <c r="C150" t="s">
        <v>381</v>
      </c>
      <c r="D150" t="s">
        <v>382</v>
      </c>
      <c r="E150" t="s">
        <v>13</v>
      </c>
      <c r="F150" t="s">
        <v>25</v>
      </c>
      <c r="G150" s="1">
        <v>47646.95</v>
      </c>
      <c r="H150" s="4">
        <v>43791</v>
      </c>
      <c r="I150" s="4" t="str">
        <f t="shared" si="7"/>
        <v>Nov</v>
      </c>
      <c r="J150" s="3">
        <v>0.3</v>
      </c>
      <c r="K150" t="s">
        <v>335</v>
      </c>
      <c r="L150" t="s">
        <v>510</v>
      </c>
      <c r="M150" t="str">
        <f t="shared" si="8"/>
        <v>part time</v>
      </c>
      <c r="N150" t="str">
        <f t="shared" si="6"/>
        <v>Available</v>
      </c>
    </row>
    <row r="151" spans="3:14" x14ac:dyDescent="0.3">
      <c r="C151" t="s">
        <v>290</v>
      </c>
      <c r="D151" t="s">
        <v>291</v>
      </c>
      <c r="E151" t="s">
        <v>13</v>
      </c>
      <c r="F151" t="s">
        <v>28</v>
      </c>
      <c r="G151" s="1">
        <v>28481.16</v>
      </c>
      <c r="H151" s="4">
        <v>43916</v>
      </c>
      <c r="I151" s="4" t="str">
        <f t="shared" si="7"/>
        <v>Mar</v>
      </c>
      <c r="J151" s="3">
        <v>1</v>
      </c>
      <c r="K151" t="s">
        <v>12</v>
      </c>
      <c r="L151" t="s">
        <v>509</v>
      </c>
      <c r="M151" t="str">
        <f t="shared" si="8"/>
        <v>full time</v>
      </c>
      <c r="N151" t="str">
        <f t="shared" si="6"/>
        <v>Available</v>
      </c>
    </row>
    <row r="152" spans="3:14" x14ac:dyDescent="0.3">
      <c r="C152" t="s">
        <v>177</v>
      </c>
      <c r="D152" t="s">
        <v>178</v>
      </c>
      <c r="E152" t="s">
        <v>10</v>
      </c>
      <c r="F152" t="s">
        <v>29</v>
      </c>
      <c r="G152" s="1">
        <f>MEDIAN(G25:G66)</f>
        <v>69011.89499999999</v>
      </c>
      <c r="H152" s="4">
        <v>43679</v>
      </c>
      <c r="I152" s="4" t="str">
        <f t="shared" si="7"/>
        <v>Aug</v>
      </c>
      <c r="J152" s="3">
        <v>1</v>
      </c>
      <c r="K152" t="s">
        <v>12</v>
      </c>
      <c r="L152" t="s">
        <v>511</v>
      </c>
      <c r="M152" t="str">
        <f t="shared" si="8"/>
        <v>full time</v>
      </c>
      <c r="N152" t="str">
        <f t="shared" si="6"/>
        <v>Available</v>
      </c>
    </row>
    <row r="153" spans="3:14" x14ac:dyDescent="0.3">
      <c r="C153" t="s">
        <v>101</v>
      </c>
      <c r="D153" t="s">
        <v>102</v>
      </c>
      <c r="E153" t="s">
        <v>10</v>
      </c>
      <c r="F153" t="s">
        <v>33</v>
      </c>
      <c r="G153" s="1">
        <v>39535.49</v>
      </c>
      <c r="H153" s="4">
        <v>43397</v>
      </c>
      <c r="I153" s="4" t="str">
        <f t="shared" si="7"/>
        <v>Oct</v>
      </c>
      <c r="J153" s="3">
        <v>0.3</v>
      </c>
      <c r="K153" t="s">
        <v>12</v>
      </c>
      <c r="L153" t="s">
        <v>511</v>
      </c>
      <c r="M153" t="str">
        <f t="shared" si="8"/>
        <v>part time</v>
      </c>
      <c r="N153" t="str">
        <f t="shared" si="6"/>
        <v>Available</v>
      </c>
    </row>
    <row r="154" spans="3:14" x14ac:dyDescent="0.3">
      <c r="C154" t="s">
        <v>395</v>
      </c>
      <c r="D154" t="s">
        <v>396</v>
      </c>
      <c r="E154" t="s">
        <v>13</v>
      </c>
      <c r="F154" t="s">
        <v>38</v>
      </c>
      <c r="G154" s="1">
        <v>95017.1</v>
      </c>
      <c r="H154" s="4">
        <v>43138</v>
      </c>
      <c r="I154" s="4" t="str">
        <f t="shared" si="7"/>
        <v>Feb</v>
      </c>
      <c r="J154" s="3">
        <v>1</v>
      </c>
      <c r="K154" t="s">
        <v>335</v>
      </c>
      <c r="L154" t="s">
        <v>508</v>
      </c>
      <c r="M154" t="str">
        <f t="shared" si="8"/>
        <v>full time</v>
      </c>
      <c r="N154" t="str">
        <f t="shared" si="6"/>
        <v>Available</v>
      </c>
    </row>
    <row r="155" spans="3:14" x14ac:dyDescent="0.3">
      <c r="C155" t="s">
        <v>368</v>
      </c>
      <c r="D155" t="s">
        <v>369</v>
      </c>
      <c r="E155" t="s">
        <v>13</v>
      </c>
      <c r="F155" t="s">
        <v>19</v>
      </c>
      <c r="G155" s="1">
        <v>69764.100000000006</v>
      </c>
      <c r="H155" s="4">
        <v>44195</v>
      </c>
      <c r="I155" s="4" t="str">
        <f t="shared" si="7"/>
        <v>Dec</v>
      </c>
      <c r="J155" s="3">
        <v>1</v>
      </c>
      <c r="K155" t="s">
        <v>335</v>
      </c>
      <c r="L155" t="s">
        <v>508</v>
      </c>
      <c r="M155" t="str">
        <f t="shared" si="8"/>
        <v>full time</v>
      </c>
      <c r="N155" t="str">
        <f t="shared" si="6"/>
        <v>Available</v>
      </c>
    </row>
    <row r="156" spans="3:14" x14ac:dyDescent="0.3">
      <c r="C156" t="s">
        <v>387</v>
      </c>
      <c r="D156" t="s">
        <v>388</v>
      </c>
      <c r="E156" t="s">
        <v>10</v>
      </c>
      <c r="F156" t="s">
        <v>33</v>
      </c>
      <c r="G156" s="1">
        <v>84598.88</v>
      </c>
      <c r="H156" s="4">
        <v>44175</v>
      </c>
      <c r="I156" s="4" t="str">
        <f t="shared" si="7"/>
        <v>Dec</v>
      </c>
      <c r="J156" s="3">
        <v>1</v>
      </c>
      <c r="K156" t="s">
        <v>335</v>
      </c>
      <c r="L156" t="s">
        <v>508</v>
      </c>
      <c r="M156" t="str">
        <f t="shared" si="8"/>
        <v>full time</v>
      </c>
      <c r="N156" t="str">
        <f t="shared" si="6"/>
        <v>Available</v>
      </c>
    </row>
    <row r="157" spans="3:14" x14ac:dyDescent="0.3">
      <c r="C157" t="s">
        <v>450</v>
      </c>
      <c r="D157" t="s">
        <v>451</v>
      </c>
      <c r="E157" t="s">
        <v>13</v>
      </c>
      <c r="F157" t="s">
        <v>16</v>
      </c>
      <c r="G157" s="1">
        <v>36536.26</v>
      </c>
      <c r="H157" s="4">
        <v>44358</v>
      </c>
      <c r="I157" s="4" t="str">
        <f t="shared" si="7"/>
        <v>Jun</v>
      </c>
      <c r="J157" s="3">
        <v>1</v>
      </c>
      <c r="K157" t="s">
        <v>420</v>
      </c>
      <c r="L157" t="s">
        <v>509</v>
      </c>
      <c r="M157" t="str">
        <f t="shared" si="8"/>
        <v>full time</v>
      </c>
      <c r="N157" t="str">
        <f t="shared" si="6"/>
        <v>Available</v>
      </c>
    </row>
    <row r="158" spans="3:14" x14ac:dyDescent="0.3">
      <c r="C158" t="s">
        <v>259</v>
      </c>
      <c r="D158" t="s">
        <v>260</v>
      </c>
      <c r="E158" t="s">
        <v>10</v>
      </c>
      <c r="F158" t="s">
        <v>19</v>
      </c>
      <c r="G158" s="1">
        <v>61688.77</v>
      </c>
      <c r="H158" s="4">
        <v>43168</v>
      </c>
      <c r="I158" s="4" t="str">
        <f t="shared" si="7"/>
        <v>Mar</v>
      </c>
      <c r="J158" s="3">
        <v>0.9</v>
      </c>
      <c r="K158" t="s">
        <v>12</v>
      </c>
      <c r="L158" t="s">
        <v>510</v>
      </c>
      <c r="M158" t="str">
        <f t="shared" si="8"/>
        <v>part time</v>
      </c>
      <c r="N158" t="str">
        <f t="shared" si="6"/>
        <v>Available</v>
      </c>
    </row>
    <row r="159" spans="3:14" x14ac:dyDescent="0.3">
      <c r="C159" t="s">
        <v>296</v>
      </c>
      <c r="D159" t="s">
        <v>297</v>
      </c>
      <c r="E159" t="s">
        <v>10</v>
      </c>
      <c r="F159" t="s">
        <v>15</v>
      </c>
      <c r="G159" s="1">
        <f>MEDIAN(G32:G73)</f>
        <v>68958.86</v>
      </c>
      <c r="H159" s="4">
        <v>44186</v>
      </c>
      <c r="I159" s="4" t="str">
        <f t="shared" si="7"/>
        <v>Dec</v>
      </c>
      <c r="J159" s="3">
        <v>1</v>
      </c>
      <c r="K159" t="s">
        <v>12</v>
      </c>
      <c r="L159" t="s">
        <v>508</v>
      </c>
      <c r="M159" t="str">
        <f t="shared" si="8"/>
        <v>full time</v>
      </c>
      <c r="N159" t="str">
        <f t="shared" si="6"/>
        <v>Available</v>
      </c>
    </row>
    <row r="160" spans="3:14" x14ac:dyDescent="0.3">
      <c r="C160" t="s">
        <v>210</v>
      </c>
      <c r="D160" t="s">
        <v>211</v>
      </c>
      <c r="E160" t="s">
        <v>10</v>
      </c>
      <c r="F160" t="s">
        <v>16</v>
      </c>
      <c r="G160" s="1">
        <v>88425.08</v>
      </c>
      <c r="H160" s="4">
        <v>43662</v>
      </c>
      <c r="I160" s="4" t="str">
        <f t="shared" si="7"/>
        <v>Jul</v>
      </c>
      <c r="J160" s="3">
        <v>1</v>
      </c>
      <c r="K160" t="s">
        <v>12</v>
      </c>
      <c r="L160" t="s">
        <v>509</v>
      </c>
      <c r="M160" t="str">
        <f t="shared" si="8"/>
        <v>full time</v>
      </c>
      <c r="N160" t="str">
        <f t="shared" si="6"/>
        <v>Available</v>
      </c>
    </row>
    <row r="161" spans="3:14" x14ac:dyDescent="0.3">
      <c r="C161" t="s">
        <v>496</v>
      </c>
      <c r="D161" t="s">
        <v>497</v>
      </c>
      <c r="E161" t="s">
        <v>13</v>
      </c>
      <c r="F161" t="s">
        <v>33</v>
      </c>
      <c r="G161" s="1">
        <v>96753.78</v>
      </c>
      <c r="H161" s="4">
        <v>44494</v>
      </c>
      <c r="I161" s="4" t="str">
        <f t="shared" si="7"/>
        <v>Oct</v>
      </c>
      <c r="J161" s="3">
        <v>1</v>
      </c>
      <c r="K161" t="s">
        <v>12</v>
      </c>
      <c r="L161" t="s">
        <v>506</v>
      </c>
      <c r="M161" t="str">
        <f t="shared" si="8"/>
        <v>full time</v>
      </c>
      <c r="N161" t="str">
        <f t="shared" si="6"/>
        <v>Available</v>
      </c>
    </row>
    <row r="162" spans="3:14" x14ac:dyDescent="0.3">
      <c r="C162" t="s">
        <v>325</v>
      </c>
      <c r="D162" t="s">
        <v>326</v>
      </c>
      <c r="E162" t="s">
        <v>10</v>
      </c>
      <c r="F162" t="s">
        <v>38</v>
      </c>
      <c r="G162" s="1">
        <v>28974.03</v>
      </c>
      <c r="H162" s="4">
        <v>43733</v>
      </c>
      <c r="I162" s="4" t="str">
        <f t="shared" si="7"/>
        <v>Sep</v>
      </c>
      <c r="J162" s="3">
        <v>1</v>
      </c>
      <c r="K162" t="s">
        <v>12</v>
      </c>
      <c r="L162" t="s">
        <v>506</v>
      </c>
      <c r="M162" t="str">
        <f t="shared" si="8"/>
        <v>full time</v>
      </c>
      <c r="N162" t="str">
        <f t="shared" si="6"/>
        <v>Available</v>
      </c>
    </row>
    <row r="163" spans="3:14" x14ac:dyDescent="0.3">
      <c r="C163" t="s">
        <v>399</v>
      </c>
      <c r="D163" t="s">
        <v>400</v>
      </c>
      <c r="E163" t="s">
        <v>10</v>
      </c>
      <c r="F163" t="s">
        <v>19</v>
      </c>
      <c r="G163" s="1">
        <v>86233.83</v>
      </c>
      <c r="H163" s="4">
        <v>43706</v>
      </c>
      <c r="I163" s="4" t="str">
        <f t="shared" si="7"/>
        <v>Aug</v>
      </c>
      <c r="J163" s="3">
        <v>1</v>
      </c>
      <c r="K163" t="s">
        <v>335</v>
      </c>
      <c r="L163" t="s">
        <v>510</v>
      </c>
      <c r="M163" t="str">
        <f t="shared" si="8"/>
        <v>full time</v>
      </c>
      <c r="N163" t="str">
        <f t="shared" si="6"/>
        <v>Available</v>
      </c>
    </row>
    <row r="164" spans="3:14" x14ac:dyDescent="0.3">
      <c r="C164" t="s">
        <v>111</v>
      </c>
      <c r="D164" t="s">
        <v>112</v>
      </c>
      <c r="E164" t="s">
        <v>13</v>
      </c>
      <c r="F164" t="s">
        <v>39</v>
      </c>
      <c r="G164" s="1">
        <v>119022.49</v>
      </c>
      <c r="H164" s="4">
        <v>44431</v>
      </c>
      <c r="I164" s="4" t="str">
        <f t="shared" si="7"/>
        <v>Aug</v>
      </c>
      <c r="J164" s="3">
        <v>1</v>
      </c>
      <c r="K164" t="s">
        <v>12</v>
      </c>
      <c r="L164" t="s">
        <v>506</v>
      </c>
      <c r="M164" t="str">
        <f t="shared" si="8"/>
        <v>full time</v>
      </c>
      <c r="N164" t="str">
        <f t="shared" si="6"/>
        <v>Available</v>
      </c>
    </row>
    <row r="165" spans="3:14" x14ac:dyDescent="0.3">
      <c r="C165" t="s">
        <v>40</v>
      </c>
      <c r="D165" t="s">
        <v>41</v>
      </c>
      <c r="E165" t="s">
        <v>10</v>
      </c>
      <c r="F165" t="s">
        <v>39</v>
      </c>
      <c r="G165" s="1">
        <v>114177.23</v>
      </c>
      <c r="H165" s="4">
        <v>43908</v>
      </c>
      <c r="I165" s="4" t="str">
        <f t="shared" si="7"/>
        <v>Mar</v>
      </c>
      <c r="J165" s="3">
        <v>1</v>
      </c>
      <c r="K165" t="s">
        <v>12</v>
      </c>
      <c r="L165" t="s">
        <v>505</v>
      </c>
      <c r="M165" t="str">
        <f t="shared" si="8"/>
        <v>full time</v>
      </c>
      <c r="N165" t="str">
        <f t="shared" si="6"/>
        <v>Available</v>
      </c>
    </row>
    <row r="166" spans="3:14" x14ac:dyDescent="0.3">
      <c r="C166" t="s">
        <v>224</v>
      </c>
      <c r="D166" t="s">
        <v>225</v>
      </c>
      <c r="E166" t="s">
        <v>10</v>
      </c>
      <c r="F166" t="s">
        <v>14</v>
      </c>
      <c r="G166" s="1">
        <v>100731.95</v>
      </c>
      <c r="H166" s="4">
        <v>43936</v>
      </c>
      <c r="I166" s="4" t="str">
        <f t="shared" si="7"/>
        <v>Apr</v>
      </c>
      <c r="J166" s="3">
        <v>1</v>
      </c>
      <c r="K166" t="s">
        <v>12</v>
      </c>
      <c r="L166" t="s">
        <v>506</v>
      </c>
      <c r="M166" t="str">
        <f t="shared" si="8"/>
        <v>full time</v>
      </c>
      <c r="N166" t="str">
        <f t="shared" si="6"/>
        <v>Available</v>
      </c>
    </row>
    <row r="167" spans="3:14" x14ac:dyDescent="0.3">
      <c r="C167" t="s">
        <v>131</v>
      </c>
      <c r="D167" t="s">
        <v>132</v>
      </c>
      <c r="E167" t="s">
        <v>10</v>
      </c>
      <c r="F167" t="s">
        <v>11</v>
      </c>
      <c r="G167" s="1">
        <v>86010.54</v>
      </c>
      <c r="H167" s="4">
        <v>43223</v>
      </c>
      <c r="I167" s="4" t="str">
        <f t="shared" si="7"/>
        <v>May</v>
      </c>
      <c r="J167" s="3">
        <v>1</v>
      </c>
      <c r="K167" t="s">
        <v>12</v>
      </c>
      <c r="L167" t="s">
        <v>510</v>
      </c>
      <c r="M167" t="str">
        <f t="shared" si="8"/>
        <v>full time</v>
      </c>
      <c r="N167" t="str">
        <f t="shared" si="6"/>
        <v>Available</v>
      </c>
    </row>
    <row r="168" spans="3:14" x14ac:dyDescent="0.3">
      <c r="C168" t="s">
        <v>194</v>
      </c>
      <c r="D168" t="s">
        <v>195</v>
      </c>
      <c r="E168" t="s">
        <v>13</v>
      </c>
      <c r="F168" t="s">
        <v>39</v>
      </c>
      <c r="G168" s="1">
        <v>52270.22</v>
      </c>
      <c r="H168" s="4">
        <v>43521</v>
      </c>
      <c r="I168" s="4" t="str">
        <f t="shared" si="7"/>
        <v>Feb</v>
      </c>
      <c r="J168" s="3">
        <v>0.3</v>
      </c>
      <c r="K168" t="s">
        <v>12</v>
      </c>
      <c r="L168" t="s">
        <v>510</v>
      </c>
      <c r="M168" t="str">
        <f t="shared" si="8"/>
        <v>part time</v>
      </c>
      <c r="N168" t="str">
        <f t="shared" si="6"/>
        <v>Available</v>
      </c>
    </row>
    <row r="169" spans="3:14" x14ac:dyDescent="0.3">
      <c r="C169" t="s">
        <v>406</v>
      </c>
      <c r="D169" t="s">
        <v>407</v>
      </c>
      <c r="E169" t="s">
        <v>13</v>
      </c>
      <c r="F169" t="s">
        <v>16</v>
      </c>
      <c r="G169" s="1">
        <v>61624.77</v>
      </c>
      <c r="H169" s="4">
        <v>43430</v>
      </c>
      <c r="I169" s="4" t="str">
        <f t="shared" si="7"/>
        <v>Nov</v>
      </c>
      <c r="J169" s="3">
        <v>0.3</v>
      </c>
      <c r="K169" t="s">
        <v>335</v>
      </c>
      <c r="L169" t="s">
        <v>509</v>
      </c>
      <c r="M169" t="str">
        <f t="shared" si="8"/>
        <v>part time</v>
      </c>
      <c r="N169" t="str">
        <f t="shared" si="6"/>
        <v>Available</v>
      </c>
    </row>
    <row r="170" spans="3:14" x14ac:dyDescent="0.3">
      <c r="C170" t="s">
        <v>212</v>
      </c>
      <c r="D170" t="s">
        <v>213</v>
      </c>
      <c r="E170" t="s">
        <v>10</v>
      </c>
      <c r="F170" t="s">
        <v>32</v>
      </c>
      <c r="G170" s="1">
        <v>104903.79</v>
      </c>
      <c r="H170" s="4">
        <v>43531</v>
      </c>
      <c r="I170" s="4" t="str">
        <f t="shared" si="7"/>
        <v>Mar</v>
      </c>
      <c r="J170" s="3">
        <v>1</v>
      </c>
      <c r="K170" t="s">
        <v>12</v>
      </c>
      <c r="L170" t="s">
        <v>510</v>
      </c>
      <c r="M170" t="str">
        <f t="shared" si="8"/>
        <v>full time</v>
      </c>
      <c r="N170" t="str">
        <f t="shared" si="6"/>
        <v>Available</v>
      </c>
    </row>
    <row r="171" spans="3:14" x14ac:dyDescent="0.3">
      <c r="C171" t="s">
        <v>474</v>
      </c>
      <c r="D171" t="s">
        <v>475</v>
      </c>
      <c r="E171" t="s">
        <v>13</v>
      </c>
      <c r="F171" t="s">
        <v>29</v>
      </c>
      <c r="G171" s="1">
        <v>28160.79</v>
      </c>
      <c r="H171" s="4">
        <v>43129</v>
      </c>
      <c r="I171" s="4" t="str">
        <f t="shared" si="7"/>
        <v>Jan</v>
      </c>
      <c r="J171" s="3">
        <v>1</v>
      </c>
      <c r="K171" t="s">
        <v>420</v>
      </c>
      <c r="L171" t="s">
        <v>511</v>
      </c>
      <c r="M171" t="str">
        <f t="shared" si="8"/>
        <v>full time</v>
      </c>
      <c r="N171" t="str">
        <f t="shared" si="6"/>
        <v>Available</v>
      </c>
    </row>
    <row r="172" spans="3:14" x14ac:dyDescent="0.3">
      <c r="C172" t="s">
        <v>236</v>
      </c>
      <c r="D172" t="s">
        <v>237</v>
      </c>
      <c r="E172" t="s">
        <v>13</v>
      </c>
      <c r="F172" t="s">
        <v>24</v>
      </c>
      <c r="G172" s="1">
        <v>109143.17</v>
      </c>
      <c r="H172" s="4">
        <v>43945</v>
      </c>
      <c r="I172" s="4" t="str">
        <f t="shared" si="7"/>
        <v>Apr</v>
      </c>
      <c r="J172" s="3">
        <v>1</v>
      </c>
      <c r="K172" t="s">
        <v>12</v>
      </c>
      <c r="L172" t="s">
        <v>505</v>
      </c>
      <c r="M172" t="str">
        <f t="shared" si="8"/>
        <v>full time</v>
      </c>
      <c r="N172" t="str">
        <f t="shared" si="6"/>
        <v>Missing</v>
      </c>
    </row>
    <row r="173" spans="3:14" x14ac:dyDescent="0.3">
      <c r="C173" t="s">
        <v>478</v>
      </c>
      <c r="D173" t="s">
        <v>479</v>
      </c>
      <c r="E173" t="s">
        <v>10</v>
      </c>
      <c r="F173" t="s">
        <v>32</v>
      </c>
      <c r="G173" s="1">
        <v>70755.5</v>
      </c>
      <c r="H173" s="4">
        <v>44090</v>
      </c>
      <c r="I173" s="4" t="str">
        <f t="shared" si="7"/>
        <v>Sep</v>
      </c>
      <c r="J173" s="3">
        <v>0.8</v>
      </c>
      <c r="K173" t="s">
        <v>420</v>
      </c>
      <c r="L173" t="s">
        <v>509</v>
      </c>
      <c r="M173" t="str">
        <f t="shared" si="8"/>
        <v>part time</v>
      </c>
      <c r="N173" t="str">
        <f t="shared" si="6"/>
        <v>Available</v>
      </c>
    </row>
    <row r="174" spans="3:14" x14ac:dyDescent="0.3">
      <c r="C174" t="s">
        <v>74</v>
      </c>
      <c r="D174" t="s">
        <v>75</v>
      </c>
      <c r="E174" t="s">
        <v>10</v>
      </c>
      <c r="F174" t="s">
        <v>24</v>
      </c>
      <c r="G174" s="1">
        <v>58861.19</v>
      </c>
      <c r="H174" s="4">
        <v>43684</v>
      </c>
      <c r="I174" s="4" t="str">
        <f t="shared" si="7"/>
        <v>Aug</v>
      </c>
      <c r="J174" s="3">
        <v>1</v>
      </c>
      <c r="K174" t="s">
        <v>12</v>
      </c>
      <c r="L174" t="s">
        <v>507</v>
      </c>
      <c r="M174" t="str">
        <f t="shared" si="8"/>
        <v>full time</v>
      </c>
      <c r="N174" t="str">
        <f t="shared" si="6"/>
        <v>Missing</v>
      </c>
    </row>
    <row r="175" spans="3:14" x14ac:dyDescent="0.3">
      <c r="C175" t="s">
        <v>476</v>
      </c>
      <c r="D175" t="s">
        <v>477</v>
      </c>
      <c r="E175" t="s">
        <v>10</v>
      </c>
      <c r="F175" t="s">
        <v>11</v>
      </c>
      <c r="G175" s="1">
        <v>58744.17</v>
      </c>
      <c r="H175" s="4">
        <v>43437</v>
      </c>
      <c r="I175" s="4" t="str">
        <f t="shared" si="7"/>
        <v>Dec</v>
      </c>
      <c r="J175" s="3">
        <v>1</v>
      </c>
      <c r="K175" t="s">
        <v>420</v>
      </c>
      <c r="L175" t="s">
        <v>507</v>
      </c>
      <c r="M175" t="str">
        <f t="shared" si="8"/>
        <v>full time</v>
      </c>
      <c r="N175" t="str">
        <f t="shared" si="6"/>
        <v>Available</v>
      </c>
    </row>
    <row r="176" spans="3:14" x14ac:dyDescent="0.3">
      <c r="C176" t="s">
        <v>353</v>
      </c>
      <c r="D176" t="s">
        <v>354</v>
      </c>
      <c r="E176" t="s">
        <v>10</v>
      </c>
      <c r="F176" t="s">
        <v>14</v>
      </c>
      <c r="G176" s="1">
        <v>73488.679999999993</v>
      </c>
      <c r="H176" s="4">
        <v>43570</v>
      </c>
      <c r="I176" s="4" t="str">
        <f t="shared" si="7"/>
        <v>Apr</v>
      </c>
      <c r="J176" s="3">
        <v>1</v>
      </c>
      <c r="K176" t="s">
        <v>335</v>
      </c>
      <c r="L176" t="s">
        <v>508</v>
      </c>
      <c r="M176" t="str">
        <f t="shared" si="8"/>
        <v>full time</v>
      </c>
      <c r="N176" t="str">
        <f t="shared" si="6"/>
        <v>Available</v>
      </c>
    </row>
    <row r="177" spans="3:14" x14ac:dyDescent="0.3">
      <c r="C177" t="s">
        <v>359</v>
      </c>
      <c r="D177" t="s">
        <v>360</v>
      </c>
      <c r="E177" t="s">
        <v>10</v>
      </c>
      <c r="F177" t="s">
        <v>14</v>
      </c>
      <c r="G177" s="1">
        <v>92704.48</v>
      </c>
      <c r="H177" s="4">
        <v>43430</v>
      </c>
      <c r="I177" s="4" t="str">
        <f t="shared" si="7"/>
        <v>Nov</v>
      </c>
      <c r="J177" s="3">
        <v>1</v>
      </c>
      <c r="K177" t="s">
        <v>335</v>
      </c>
      <c r="L177" t="s">
        <v>507</v>
      </c>
      <c r="M177" t="str">
        <f t="shared" si="8"/>
        <v>full time</v>
      </c>
      <c r="N177" t="str">
        <f t="shared" si="6"/>
        <v>Available</v>
      </c>
    </row>
    <row r="178" spans="3:14" x14ac:dyDescent="0.3">
      <c r="C178" t="s">
        <v>389</v>
      </c>
      <c r="D178" t="s">
        <v>390</v>
      </c>
      <c r="E178" t="s">
        <v>13</v>
      </c>
      <c r="F178" t="s">
        <v>16</v>
      </c>
      <c r="G178" s="1">
        <v>78443.78</v>
      </c>
      <c r="H178" s="4">
        <v>43599</v>
      </c>
      <c r="I178" s="4" t="str">
        <f t="shared" si="7"/>
        <v>May</v>
      </c>
      <c r="J178" s="3">
        <v>1</v>
      </c>
      <c r="K178" t="s">
        <v>335</v>
      </c>
      <c r="L178" t="s">
        <v>509</v>
      </c>
      <c r="M178" t="str">
        <f t="shared" si="8"/>
        <v>full time</v>
      </c>
      <c r="N178" t="str">
        <f t="shared" si="6"/>
        <v>Available</v>
      </c>
    </row>
    <row r="179" spans="3:14" x14ac:dyDescent="0.3">
      <c r="C179" t="s">
        <v>54</v>
      </c>
      <c r="D179" t="s">
        <v>55</v>
      </c>
      <c r="E179" t="s">
        <v>10</v>
      </c>
      <c r="F179" t="s">
        <v>16</v>
      </c>
      <c r="G179" s="1">
        <v>97105.19</v>
      </c>
      <c r="H179" s="4">
        <v>44425</v>
      </c>
      <c r="I179" s="4" t="str">
        <f t="shared" si="7"/>
        <v>Aug</v>
      </c>
      <c r="J179" s="3">
        <v>1</v>
      </c>
      <c r="K179" t="s">
        <v>12</v>
      </c>
      <c r="L179" t="s">
        <v>507</v>
      </c>
      <c r="M179" t="str">
        <f t="shared" si="8"/>
        <v>full time</v>
      </c>
      <c r="N179" t="str">
        <f t="shared" si="6"/>
        <v>Available</v>
      </c>
    </row>
    <row r="180" spans="3:14" x14ac:dyDescent="0.3">
      <c r="C180" t="s">
        <v>277</v>
      </c>
      <c r="D180" t="s">
        <v>278</v>
      </c>
      <c r="E180" t="s">
        <v>10</v>
      </c>
      <c r="F180" t="s">
        <v>25</v>
      </c>
      <c r="G180" s="1">
        <v>109163.39</v>
      </c>
      <c r="H180" s="4">
        <v>44019</v>
      </c>
      <c r="I180" s="4" t="str">
        <f t="shared" si="7"/>
        <v>Jul</v>
      </c>
      <c r="J180" s="3">
        <v>0.8</v>
      </c>
      <c r="K180" t="s">
        <v>12</v>
      </c>
      <c r="L180" t="s">
        <v>508</v>
      </c>
      <c r="M180" t="str">
        <f t="shared" si="8"/>
        <v>part time</v>
      </c>
      <c r="N180" t="str">
        <f t="shared" si="6"/>
        <v>Available</v>
      </c>
    </row>
    <row r="181" spans="3:14" x14ac:dyDescent="0.3">
      <c r="C181" t="s">
        <v>338</v>
      </c>
      <c r="D181" t="s">
        <v>339</v>
      </c>
      <c r="E181" t="s">
        <v>13</v>
      </c>
      <c r="F181" t="s">
        <v>32</v>
      </c>
      <c r="G181" s="1">
        <v>31816.57</v>
      </c>
      <c r="H181" s="4">
        <v>43467</v>
      </c>
      <c r="I181" s="4" t="str">
        <f t="shared" si="7"/>
        <v>Jan</v>
      </c>
      <c r="J181" s="3">
        <v>0.3</v>
      </c>
      <c r="K181" t="s">
        <v>335</v>
      </c>
      <c r="L181" t="s">
        <v>511</v>
      </c>
      <c r="M181" t="str">
        <f t="shared" si="8"/>
        <v>part time</v>
      </c>
      <c r="N181" t="str">
        <f t="shared" si="6"/>
        <v>Available</v>
      </c>
    </row>
    <row r="182" spans="3:14" x14ac:dyDescent="0.3">
      <c r="C182" t="s">
        <v>187</v>
      </c>
      <c r="D182" t="s">
        <v>188</v>
      </c>
      <c r="E182" t="s">
        <v>10</v>
      </c>
      <c r="F182" t="s">
        <v>24</v>
      </c>
      <c r="G182" s="1">
        <v>118442.54</v>
      </c>
      <c r="H182" s="4">
        <v>44193</v>
      </c>
      <c r="I182" s="4" t="str">
        <f t="shared" si="7"/>
        <v>Dec</v>
      </c>
      <c r="J182" s="3">
        <v>1</v>
      </c>
      <c r="K182" t="s">
        <v>12</v>
      </c>
      <c r="L182" t="s">
        <v>506</v>
      </c>
      <c r="M182" t="str">
        <f t="shared" si="8"/>
        <v>full time</v>
      </c>
      <c r="N182" t="str">
        <f t="shared" si="6"/>
        <v>Missing</v>
      </c>
    </row>
    <row r="183" spans="3:14" x14ac:dyDescent="0.3">
      <c r="C183" t="s">
        <v>94</v>
      </c>
      <c r="D183" t="s">
        <v>95</v>
      </c>
      <c r="E183" t="s">
        <v>10</v>
      </c>
      <c r="F183" t="s">
        <v>11</v>
      </c>
      <c r="G183" s="1">
        <v>84745.93</v>
      </c>
      <c r="H183" s="4">
        <v>43707</v>
      </c>
      <c r="I183" s="4" t="str">
        <f t="shared" si="7"/>
        <v>Aug</v>
      </c>
      <c r="J183" s="3">
        <v>1</v>
      </c>
      <c r="K183" t="s">
        <v>12</v>
      </c>
      <c r="L183" t="s">
        <v>505</v>
      </c>
      <c r="M183" t="str">
        <f t="shared" si="8"/>
        <v>full time</v>
      </c>
      <c r="N183" t="str">
        <f t="shared" si="6"/>
        <v>Available</v>
      </c>
    </row>
    <row r="184" spans="3:14" x14ac:dyDescent="0.3">
      <c r="C184" t="s">
        <v>302</v>
      </c>
      <c r="D184" t="s">
        <v>303</v>
      </c>
      <c r="E184" t="s">
        <v>10</v>
      </c>
      <c r="F184" t="s">
        <v>15</v>
      </c>
      <c r="G184" s="1">
        <v>68795.48</v>
      </c>
      <c r="H184" s="4">
        <v>44277</v>
      </c>
      <c r="I184" s="4" t="str">
        <f t="shared" si="7"/>
        <v>Mar</v>
      </c>
      <c r="J184" s="3">
        <v>0.2</v>
      </c>
      <c r="K184" t="s">
        <v>12</v>
      </c>
      <c r="L184" t="s">
        <v>511</v>
      </c>
      <c r="M184" t="str">
        <f t="shared" si="8"/>
        <v>part time</v>
      </c>
      <c r="N184" t="str">
        <f t="shared" si="6"/>
        <v>Available</v>
      </c>
    </row>
    <row r="185" spans="3:14" x14ac:dyDescent="0.3">
      <c r="C185" t="s">
        <v>171</v>
      </c>
      <c r="D185" t="s">
        <v>172</v>
      </c>
      <c r="E185" t="s">
        <v>10</v>
      </c>
      <c r="F185" t="s">
        <v>25</v>
      </c>
      <c r="G185" s="1">
        <v>32269.91</v>
      </c>
      <c r="H185" s="4">
        <v>43168</v>
      </c>
      <c r="I185" s="4" t="str">
        <f t="shared" si="7"/>
        <v>Mar</v>
      </c>
      <c r="J185" s="3">
        <v>1</v>
      </c>
      <c r="K185" t="s">
        <v>12</v>
      </c>
      <c r="L185" t="s">
        <v>511</v>
      </c>
      <c r="M185" t="str">
        <f t="shared" si="8"/>
        <v>full time</v>
      </c>
      <c r="N185" t="str">
        <f t="shared" si="6"/>
        <v>Available</v>
      </c>
    </row>
    <row r="186" spans="3:14" x14ac:dyDescent="0.3">
      <c r="C186" t="s">
        <v>345</v>
      </c>
      <c r="D186" t="s">
        <v>346</v>
      </c>
      <c r="E186" t="s">
        <v>13</v>
      </c>
      <c r="F186" t="s">
        <v>29</v>
      </c>
      <c r="G186" s="1">
        <v>78705.929999999993</v>
      </c>
      <c r="H186" s="4">
        <v>43231</v>
      </c>
      <c r="I186" s="4" t="str">
        <f t="shared" si="7"/>
        <v>May</v>
      </c>
      <c r="J186" s="3">
        <v>1</v>
      </c>
      <c r="K186" t="s">
        <v>335</v>
      </c>
      <c r="L186" t="s">
        <v>508</v>
      </c>
      <c r="M186" t="str">
        <f t="shared" si="8"/>
        <v>full time</v>
      </c>
      <c r="N186" t="str">
        <f t="shared" si="6"/>
        <v>Available</v>
      </c>
    </row>
    <row r="187" spans="3:14" x14ac:dyDescent="0.3">
      <c r="C187" t="s">
        <v>397</v>
      </c>
      <c r="D187" t="s">
        <v>398</v>
      </c>
      <c r="E187" t="s">
        <v>13</v>
      </c>
      <c r="F187" t="s">
        <v>32</v>
      </c>
      <c r="G187" s="1">
        <v>53535.62</v>
      </c>
      <c r="H187" s="4">
        <v>44110</v>
      </c>
      <c r="I187" s="4" t="str">
        <f t="shared" si="7"/>
        <v>Oct</v>
      </c>
      <c r="J187" s="3">
        <v>0.5</v>
      </c>
      <c r="K187" t="s">
        <v>335</v>
      </c>
      <c r="L187" t="s">
        <v>508</v>
      </c>
      <c r="M187" t="str">
        <f t="shared" si="8"/>
        <v>part time</v>
      </c>
      <c r="N187" t="str">
        <f t="shared" si="6"/>
        <v>Available</v>
      </c>
    </row>
    <row r="188" spans="3:14" x14ac:dyDescent="0.3">
      <c r="C188" t="s">
        <v>82</v>
      </c>
      <c r="D188" t="s">
        <v>83</v>
      </c>
      <c r="E188" t="s">
        <v>10</v>
      </c>
      <c r="F188" t="s">
        <v>33</v>
      </c>
      <c r="G188" s="1">
        <v>41934.71</v>
      </c>
      <c r="H188" s="4">
        <v>43780</v>
      </c>
      <c r="I188" s="4" t="str">
        <f t="shared" si="7"/>
        <v>Nov</v>
      </c>
      <c r="J188" s="3">
        <v>1</v>
      </c>
      <c r="K188" t="s">
        <v>12</v>
      </c>
      <c r="L188" t="s">
        <v>511</v>
      </c>
      <c r="M188" t="str">
        <f t="shared" si="8"/>
        <v>full time</v>
      </c>
      <c r="N188" t="str">
        <f t="shared" si="6"/>
        <v>Available</v>
      </c>
    </row>
    <row r="189" spans="3:14" x14ac:dyDescent="0.3">
      <c r="C189" t="s">
        <v>357</v>
      </c>
      <c r="D189" t="s">
        <v>358</v>
      </c>
      <c r="E189" t="s">
        <v>10</v>
      </c>
      <c r="F189" t="s">
        <v>15</v>
      </c>
      <c r="G189" s="1">
        <v>91929.69</v>
      </c>
      <c r="H189" s="4">
        <v>44144</v>
      </c>
      <c r="I189" s="4" t="str">
        <f t="shared" si="7"/>
        <v>Nov</v>
      </c>
      <c r="J189" s="3">
        <v>1</v>
      </c>
      <c r="K189" t="s">
        <v>335</v>
      </c>
      <c r="L189" t="s">
        <v>511</v>
      </c>
      <c r="M189" t="str">
        <f t="shared" si="8"/>
        <v>full time</v>
      </c>
      <c r="N189" t="str">
        <f t="shared" si="6"/>
        <v>Available</v>
      </c>
    </row>
    <row r="190" spans="3:14" x14ac:dyDescent="0.3">
      <c r="C190" t="s">
        <v>129</v>
      </c>
      <c r="D190" t="s">
        <v>130</v>
      </c>
      <c r="E190" t="s">
        <v>13</v>
      </c>
      <c r="F190" t="s">
        <v>29</v>
      </c>
      <c r="G190" s="1">
        <v>62281.24</v>
      </c>
      <c r="H190" s="4">
        <v>43272</v>
      </c>
      <c r="I190" s="4" t="str">
        <f t="shared" si="7"/>
        <v>Jun</v>
      </c>
      <c r="J190" s="3">
        <v>1</v>
      </c>
      <c r="K190" t="s">
        <v>12</v>
      </c>
      <c r="L190" t="s">
        <v>511</v>
      </c>
      <c r="M190" t="str">
        <f t="shared" si="8"/>
        <v>full time</v>
      </c>
      <c r="N190" t="str">
        <f t="shared" si="6"/>
        <v>Available</v>
      </c>
    </row>
    <row r="191" spans="3:14" x14ac:dyDescent="0.3">
      <c r="C191" t="s">
        <v>305</v>
      </c>
      <c r="D191" t="s">
        <v>306</v>
      </c>
      <c r="E191" t="s">
        <v>13</v>
      </c>
      <c r="F191" t="s">
        <v>39</v>
      </c>
      <c r="G191" s="1">
        <v>57925.91</v>
      </c>
      <c r="H191" s="4">
        <v>43572</v>
      </c>
      <c r="I191" s="4" t="str">
        <f t="shared" si="7"/>
        <v>Apr</v>
      </c>
      <c r="J191" s="3">
        <v>0.5</v>
      </c>
      <c r="K191" t="s">
        <v>12</v>
      </c>
      <c r="L191" t="s">
        <v>505</v>
      </c>
      <c r="M191" t="str">
        <f t="shared" si="8"/>
        <v>part time</v>
      </c>
      <c r="N191" t="str">
        <f t="shared" si="6"/>
        <v>Available</v>
      </c>
    </row>
    <row r="192" spans="3:14" x14ac:dyDescent="0.3">
      <c r="C192" t="s">
        <v>440</v>
      </c>
      <c r="D192" t="s">
        <v>441</v>
      </c>
      <c r="E192" t="s">
        <v>13</v>
      </c>
      <c r="F192" t="s">
        <v>16</v>
      </c>
      <c r="G192" s="1">
        <v>82239.53</v>
      </c>
      <c r="H192" s="4">
        <v>43846</v>
      </c>
      <c r="I192" s="4" t="str">
        <f t="shared" si="7"/>
        <v>Jan</v>
      </c>
      <c r="J192" s="3">
        <v>1</v>
      </c>
      <c r="K192" t="s">
        <v>420</v>
      </c>
      <c r="L192" t="s">
        <v>507</v>
      </c>
      <c r="M192" t="str">
        <f t="shared" si="8"/>
        <v>full time</v>
      </c>
      <c r="N192" t="str">
        <f t="shared" si="6"/>
        <v>Available</v>
      </c>
    </row>
    <row r="193" spans="3:14" x14ac:dyDescent="0.3">
      <c r="C193" t="s">
        <v>375</v>
      </c>
      <c r="D193" t="s">
        <v>376</v>
      </c>
      <c r="E193" t="s">
        <v>13</v>
      </c>
      <c r="F193" t="s">
        <v>16</v>
      </c>
      <c r="G193" s="1">
        <v>53184.02</v>
      </c>
      <c r="H193" s="4">
        <v>43180</v>
      </c>
      <c r="I193" s="4" t="str">
        <f t="shared" si="7"/>
        <v>Mar</v>
      </c>
      <c r="J193" s="3">
        <v>1</v>
      </c>
      <c r="K193" t="s">
        <v>335</v>
      </c>
      <c r="L193" t="s">
        <v>511</v>
      </c>
      <c r="M193" t="str">
        <f t="shared" si="8"/>
        <v>full time</v>
      </c>
      <c r="N193" t="str">
        <f t="shared" si="6"/>
        <v>Available</v>
      </c>
    </row>
    <row r="194" spans="3:14" x14ac:dyDescent="0.3">
      <c r="C194" t="s">
        <v>48</v>
      </c>
      <c r="D194" t="s">
        <v>49</v>
      </c>
      <c r="E194" t="s">
        <v>13</v>
      </c>
      <c r="F194" t="s">
        <v>39</v>
      </c>
      <c r="G194" s="1">
        <v>35936.31</v>
      </c>
      <c r="H194" s="4">
        <v>43241</v>
      </c>
      <c r="I194" s="4" t="str">
        <f t="shared" si="7"/>
        <v>May</v>
      </c>
      <c r="J194" s="3">
        <v>1</v>
      </c>
      <c r="K194" t="s">
        <v>12</v>
      </c>
      <c r="L194" t="s">
        <v>510</v>
      </c>
      <c r="M194" t="str">
        <f t="shared" si="8"/>
        <v>full time</v>
      </c>
      <c r="N194" t="str">
        <f t="shared" ref="N194:N246" si="9">IF(UPPER(TRIM(F194&amp;""))="NULL","Missing","Available")</f>
        <v>Available</v>
      </c>
    </row>
    <row r="195" spans="3:14" x14ac:dyDescent="0.3">
      <c r="C195" t="s">
        <v>241</v>
      </c>
      <c r="D195" t="s">
        <v>242</v>
      </c>
      <c r="E195" t="s">
        <v>10</v>
      </c>
      <c r="F195" t="s">
        <v>25</v>
      </c>
      <c r="G195" s="1">
        <v>28305.08</v>
      </c>
      <c r="H195" s="4">
        <v>43754</v>
      </c>
      <c r="I195" s="4" t="str">
        <f t="shared" ref="I195:I246" si="10">TEXT(H195,"mmm")</f>
        <v>Oct</v>
      </c>
      <c r="J195" s="3">
        <v>1</v>
      </c>
      <c r="K195" t="s">
        <v>12</v>
      </c>
      <c r="L195" t="s">
        <v>511</v>
      </c>
      <c r="M195" t="str">
        <f t="shared" ref="M195:M246" si="11">IF(J195&lt;1,"part time","full time")</f>
        <v>full time</v>
      </c>
      <c r="N195" t="str">
        <f t="shared" si="9"/>
        <v>Available</v>
      </c>
    </row>
    <row r="196" spans="3:14" x14ac:dyDescent="0.3">
      <c r="C196" t="s">
        <v>42</v>
      </c>
      <c r="D196" t="s">
        <v>43</v>
      </c>
      <c r="E196" t="s">
        <v>13</v>
      </c>
      <c r="F196" t="s">
        <v>28</v>
      </c>
      <c r="G196" s="1">
        <v>29774.76</v>
      </c>
      <c r="H196" s="4">
        <v>43840</v>
      </c>
      <c r="I196" s="4" t="str">
        <f t="shared" si="10"/>
        <v>Jan</v>
      </c>
      <c r="J196" s="3">
        <v>1</v>
      </c>
      <c r="K196" t="s">
        <v>12</v>
      </c>
      <c r="L196" t="s">
        <v>505</v>
      </c>
      <c r="M196" t="str">
        <f t="shared" si="11"/>
        <v>full time</v>
      </c>
      <c r="N196" t="str">
        <f t="shared" si="9"/>
        <v>Available</v>
      </c>
    </row>
    <row r="197" spans="3:14" x14ac:dyDescent="0.3">
      <c r="C197" t="s">
        <v>410</v>
      </c>
      <c r="D197" t="s">
        <v>411</v>
      </c>
      <c r="E197" t="s">
        <v>13</v>
      </c>
      <c r="F197" t="s">
        <v>39</v>
      </c>
      <c r="G197" s="1">
        <v>102515.81</v>
      </c>
      <c r="H197" s="4">
        <v>44168</v>
      </c>
      <c r="I197" s="4" t="str">
        <f t="shared" si="10"/>
        <v>Dec</v>
      </c>
      <c r="J197" s="3">
        <v>1</v>
      </c>
      <c r="K197" t="s">
        <v>335</v>
      </c>
      <c r="L197" t="s">
        <v>510</v>
      </c>
      <c r="M197" t="str">
        <f t="shared" si="11"/>
        <v>full time</v>
      </c>
      <c r="N197" t="str">
        <f t="shared" si="9"/>
        <v>Available</v>
      </c>
    </row>
    <row r="198" spans="3:14" x14ac:dyDescent="0.3">
      <c r="C198" t="s">
        <v>470</v>
      </c>
      <c r="D198" t="s">
        <v>471</v>
      </c>
      <c r="E198" t="s">
        <v>13</v>
      </c>
      <c r="F198" t="s">
        <v>39</v>
      </c>
      <c r="G198" s="1">
        <v>38825.18</v>
      </c>
      <c r="H198" s="4">
        <v>43696</v>
      </c>
      <c r="I198" s="4" t="str">
        <f t="shared" si="10"/>
        <v>Aug</v>
      </c>
      <c r="J198" s="3">
        <v>1</v>
      </c>
      <c r="K198" t="s">
        <v>420</v>
      </c>
      <c r="L198" t="s">
        <v>511</v>
      </c>
      <c r="M198" t="str">
        <f t="shared" si="11"/>
        <v>full time</v>
      </c>
      <c r="N198" t="str">
        <f t="shared" si="9"/>
        <v>Available</v>
      </c>
    </row>
    <row r="199" spans="3:14" x14ac:dyDescent="0.3">
      <c r="C199" t="s">
        <v>135</v>
      </c>
      <c r="D199" t="s">
        <v>136</v>
      </c>
      <c r="E199" t="s">
        <v>10</v>
      </c>
      <c r="F199" t="s">
        <v>25</v>
      </c>
      <c r="G199" s="1">
        <v>71229.42</v>
      </c>
      <c r="H199" s="4">
        <v>43842</v>
      </c>
      <c r="I199" s="4" t="str">
        <f t="shared" si="10"/>
        <v>Jan</v>
      </c>
      <c r="J199" s="3">
        <v>1</v>
      </c>
      <c r="K199" t="s">
        <v>12</v>
      </c>
      <c r="L199" t="s">
        <v>509</v>
      </c>
      <c r="M199" t="str">
        <f t="shared" si="11"/>
        <v>full time</v>
      </c>
      <c r="N199" t="str">
        <f t="shared" si="9"/>
        <v>Available</v>
      </c>
    </row>
    <row r="200" spans="3:14" x14ac:dyDescent="0.3">
      <c r="C200" t="s">
        <v>20</v>
      </c>
      <c r="D200" t="s">
        <v>21</v>
      </c>
      <c r="E200" t="s">
        <v>10</v>
      </c>
      <c r="F200" t="s">
        <v>19</v>
      </c>
      <c r="G200" s="1">
        <v>80695.740000000005</v>
      </c>
      <c r="H200" s="4">
        <v>43360</v>
      </c>
      <c r="I200" s="4" t="str">
        <f t="shared" si="10"/>
        <v>Sep</v>
      </c>
      <c r="J200" s="3">
        <v>1</v>
      </c>
      <c r="K200" t="s">
        <v>12</v>
      </c>
      <c r="L200" t="s">
        <v>507</v>
      </c>
      <c r="M200" t="str">
        <f t="shared" si="11"/>
        <v>full time</v>
      </c>
      <c r="N200" t="str">
        <f t="shared" si="9"/>
        <v>Available</v>
      </c>
    </row>
    <row r="201" spans="3:14" x14ac:dyDescent="0.3">
      <c r="C201" t="s">
        <v>60</v>
      </c>
      <c r="D201" t="s">
        <v>61</v>
      </c>
      <c r="E201" t="s">
        <v>10</v>
      </c>
      <c r="F201" t="s">
        <v>15</v>
      </c>
      <c r="G201" s="1">
        <v>72502.61</v>
      </c>
      <c r="H201" s="4">
        <v>44410</v>
      </c>
      <c r="I201" s="4" t="str">
        <f t="shared" si="10"/>
        <v>Aug</v>
      </c>
      <c r="J201" s="3">
        <v>1</v>
      </c>
      <c r="K201" t="s">
        <v>12</v>
      </c>
      <c r="L201" t="s">
        <v>505</v>
      </c>
      <c r="M201" t="str">
        <f t="shared" si="11"/>
        <v>full time</v>
      </c>
      <c r="N201" t="str">
        <f t="shared" si="9"/>
        <v>Available</v>
      </c>
    </row>
    <row r="202" spans="3:14" x14ac:dyDescent="0.3">
      <c r="C202" t="s">
        <v>271</v>
      </c>
      <c r="D202" t="s">
        <v>272</v>
      </c>
      <c r="E202" t="s">
        <v>10</v>
      </c>
      <c r="F202" t="s">
        <v>15</v>
      </c>
      <c r="G202" s="1">
        <v>68197.899999999994</v>
      </c>
      <c r="H202" s="4">
        <v>44119</v>
      </c>
      <c r="I202" s="4" t="str">
        <f t="shared" si="10"/>
        <v>Oct</v>
      </c>
      <c r="J202" s="3">
        <v>1</v>
      </c>
      <c r="K202" t="s">
        <v>12</v>
      </c>
      <c r="L202" t="s">
        <v>506</v>
      </c>
      <c r="M202" t="str">
        <f t="shared" si="11"/>
        <v>full time</v>
      </c>
      <c r="N202" t="str">
        <f t="shared" si="9"/>
        <v>Available</v>
      </c>
    </row>
    <row r="203" spans="3:14" x14ac:dyDescent="0.3">
      <c r="C203" t="s">
        <v>392</v>
      </c>
      <c r="D203" t="s">
        <v>361</v>
      </c>
      <c r="E203" t="s">
        <v>10</v>
      </c>
      <c r="F203" t="s">
        <v>39</v>
      </c>
      <c r="G203" s="1">
        <f>MEDIAN(G76:G117)</f>
        <v>75854.365000000005</v>
      </c>
      <c r="H203" s="4">
        <v>43587</v>
      </c>
      <c r="I203" s="4" t="str">
        <f t="shared" si="10"/>
        <v>May</v>
      </c>
      <c r="J203" s="3">
        <v>1</v>
      </c>
      <c r="K203" t="s">
        <v>335</v>
      </c>
      <c r="L203" t="s">
        <v>507</v>
      </c>
      <c r="M203" t="str">
        <f t="shared" si="11"/>
        <v>full time</v>
      </c>
      <c r="N203" t="str">
        <f t="shared" si="9"/>
        <v>Available</v>
      </c>
    </row>
    <row r="204" spans="3:14" x14ac:dyDescent="0.3">
      <c r="C204" t="s">
        <v>383</v>
      </c>
      <c r="D204" t="s">
        <v>384</v>
      </c>
      <c r="E204" t="s">
        <v>13</v>
      </c>
      <c r="F204" t="s">
        <v>15</v>
      </c>
      <c r="G204" s="1">
        <v>89960.6</v>
      </c>
      <c r="H204" s="4">
        <v>43515</v>
      </c>
      <c r="I204" s="4" t="str">
        <f t="shared" si="10"/>
        <v>Feb</v>
      </c>
      <c r="J204" s="3">
        <v>1</v>
      </c>
      <c r="K204" t="s">
        <v>335</v>
      </c>
      <c r="L204" t="s">
        <v>506</v>
      </c>
      <c r="M204" t="str">
        <f t="shared" si="11"/>
        <v>full time</v>
      </c>
      <c r="N204" t="str">
        <f t="shared" si="9"/>
        <v>Available</v>
      </c>
    </row>
    <row r="205" spans="3:14" x14ac:dyDescent="0.3">
      <c r="C205" t="s">
        <v>255</v>
      </c>
      <c r="D205" t="s">
        <v>256</v>
      </c>
      <c r="E205" t="s">
        <v>13</v>
      </c>
      <c r="F205" t="s">
        <v>16</v>
      </c>
      <c r="G205" s="1">
        <f>MEDIAN(G78:G119)</f>
        <v>75854.365000000005</v>
      </c>
      <c r="H205" s="4">
        <v>44501</v>
      </c>
      <c r="I205" s="4" t="str">
        <f t="shared" si="10"/>
        <v>Nov</v>
      </c>
      <c r="J205" s="3">
        <v>0.7</v>
      </c>
      <c r="K205" t="s">
        <v>12</v>
      </c>
      <c r="L205" t="s">
        <v>508</v>
      </c>
      <c r="M205" t="str">
        <f t="shared" si="11"/>
        <v>part time</v>
      </c>
      <c r="N205" t="str">
        <f t="shared" si="9"/>
        <v>Available</v>
      </c>
    </row>
    <row r="206" spans="3:14" x14ac:dyDescent="0.3">
      <c r="C206" t="s">
        <v>300</v>
      </c>
      <c r="D206" t="s">
        <v>301</v>
      </c>
      <c r="E206" t="s">
        <v>13</v>
      </c>
      <c r="F206" t="s">
        <v>15</v>
      </c>
      <c r="G206" s="1">
        <v>80360.41</v>
      </c>
      <c r="H206" s="4">
        <v>43873</v>
      </c>
      <c r="I206" s="4" t="str">
        <f t="shared" si="10"/>
        <v>Feb</v>
      </c>
      <c r="J206" s="3">
        <v>1</v>
      </c>
      <c r="K206" t="s">
        <v>12</v>
      </c>
      <c r="L206" t="s">
        <v>511</v>
      </c>
      <c r="M206" t="str">
        <f t="shared" si="11"/>
        <v>full time</v>
      </c>
      <c r="N206" t="str">
        <f t="shared" si="9"/>
        <v>Available</v>
      </c>
    </row>
    <row r="207" spans="3:14" x14ac:dyDescent="0.3">
      <c r="C207" t="s">
        <v>125</v>
      </c>
      <c r="D207" t="s">
        <v>126</v>
      </c>
      <c r="E207" t="s">
        <v>10</v>
      </c>
      <c r="F207" t="s">
        <v>33</v>
      </c>
      <c r="G207" s="1">
        <v>77045.440000000002</v>
      </c>
      <c r="H207" s="4">
        <v>43636</v>
      </c>
      <c r="I207" s="4" t="str">
        <f t="shared" si="10"/>
        <v>Jun</v>
      </c>
      <c r="J207" s="3">
        <v>1</v>
      </c>
      <c r="K207" t="s">
        <v>12</v>
      </c>
      <c r="L207" t="s">
        <v>511</v>
      </c>
      <c r="M207" t="str">
        <f t="shared" si="11"/>
        <v>full time</v>
      </c>
      <c r="N207" t="str">
        <f t="shared" si="9"/>
        <v>Available</v>
      </c>
    </row>
    <row r="208" spans="3:14" x14ac:dyDescent="0.3">
      <c r="C208" t="s">
        <v>8</v>
      </c>
      <c r="D208" t="s">
        <v>9</v>
      </c>
      <c r="E208" t="s">
        <v>10</v>
      </c>
      <c r="F208" t="s">
        <v>11</v>
      </c>
      <c r="G208" s="1">
        <v>96135.75</v>
      </c>
      <c r="H208" s="4">
        <v>44025</v>
      </c>
      <c r="I208" s="4" t="str">
        <f t="shared" si="10"/>
        <v>Jul</v>
      </c>
      <c r="J208" s="3">
        <v>0.3</v>
      </c>
      <c r="K208" t="s">
        <v>12</v>
      </c>
      <c r="L208" t="s">
        <v>505</v>
      </c>
      <c r="M208" t="str">
        <f t="shared" si="11"/>
        <v>part time</v>
      </c>
      <c r="N208" t="str">
        <f t="shared" si="9"/>
        <v>Available</v>
      </c>
    </row>
    <row r="209" spans="3:14" x14ac:dyDescent="0.3">
      <c r="C209" t="s">
        <v>228</v>
      </c>
      <c r="D209" t="s">
        <v>229</v>
      </c>
      <c r="E209" t="s">
        <v>10</v>
      </c>
      <c r="F209" t="s">
        <v>33</v>
      </c>
      <c r="G209" s="1">
        <v>102129.37</v>
      </c>
      <c r="H209" s="4">
        <v>44396</v>
      </c>
      <c r="I209" s="4" t="str">
        <f t="shared" si="10"/>
        <v>Jul</v>
      </c>
      <c r="J209" s="3">
        <v>1</v>
      </c>
      <c r="K209" t="s">
        <v>12</v>
      </c>
      <c r="L209" t="s">
        <v>507</v>
      </c>
      <c r="M209" t="str">
        <f t="shared" si="11"/>
        <v>full time</v>
      </c>
      <c r="N209" t="str">
        <f t="shared" si="9"/>
        <v>Available</v>
      </c>
    </row>
    <row r="210" spans="3:14" x14ac:dyDescent="0.3">
      <c r="C210" t="s">
        <v>196</v>
      </c>
      <c r="D210" t="s">
        <v>197</v>
      </c>
      <c r="E210" t="s">
        <v>10</v>
      </c>
      <c r="F210" t="s">
        <v>11</v>
      </c>
      <c r="G210" s="1">
        <v>99965.97</v>
      </c>
      <c r="H210" s="4">
        <v>43133</v>
      </c>
      <c r="I210" s="4" t="str">
        <f t="shared" si="10"/>
        <v>Feb</v>
      </c>
      <c r="J210" s="3">
        <v>1</v>
      </c>
      <c r="K210" t="s">
        <v>12</v>
      </c>
      <c r="L210" t="s">
        <v>511</v>
      </c>
      <c r="M210" t="str">
        <f t="shared" si="11"/>
        <v>full time</v>
      </c>
      <c r="N210" t="str">
        <f t="shared" si="9"/>
        <v>Available</v>
      </c>
    </row>
    <row r="211" spans="3:14" x14ac:dyDescent="0.3">
      <c r="C211" t="s">
        <v>379</v>
      </c>
      <c r="D211" t="s">
        <v>380</v>
      </c>
      <c r="E211" t="s">
        <v>10</v>
      </c>
      <c r="F211" t="s">
        <v>15</v>
      </c>
      <c r="G211" s="1">
        <v>49625.64</v>
      </c>
      <c r="H211" s="4">
        <v>44384</v>
      </c>
      <c r="I211" s="4" t="str">
        <f t="shared" si="10"/>
        <v>Jul</v>
      </c>
      <c r="J211" s="3">
        <v>0.5</v>
      </c>
      <c r="K211" t="s">
        <v>335</v>
      </c>
      <c r="L211" t="s">
        <v>511</v>
      </c>
      <c r="M211" t="str">
        <f t="shared" si="11"/>
        <v>part time</v>
      </c>
      <c r="N211" t="str">
        <f t="shared" si="9"/>
        <v>Available</v>
      </c>
    </row>
    <row r="212" spans="3:14" x14ac:dyDescent="0.3">
      <c r="C212" t="s">
        <v>273</v>
      </c>
      <c r="D212" t="s">
        <v>274</v>
      </c>
      <c r="E212" t="s">
        <v>10</v>
      </c>
      <c r="F212" t="s">
        <v>16</v>
      </c>
      <c r="G212" s="1">
        <v>94815.28</v>
      </c>
      <c r="H212" s="4">
        <v>43263</v>
      </c>
      <c r="I212" s="4" t="str">
        <f t="shared" si="10"/>
        <v>Jun</v>
      </c>
      <c r="J212" s="3">
        <v>1</v>
      </c>
      <c r="K212" t="s">
        <v>12</v>
      </c>
      <c r="L212" t="s">
        <v>508</v>
      </c>
      <c r="M212" t="str">
        <f t="shared" si="11"/>
        <v>full time</v>
      </c>
      <c r="N212" t="str">
        <f t="shared" si="9"/>
        <v>Available</v>
      </c>
    </row>
    <row r="213" spans="3:14" x14ac:dyDescent="0.3">
      <c r="C213" t="s">
        <v>97</v>
      </c>
      <c r="D213" t="s">
        <v>98</v>
      </c>
      <c r="E213" t="s">
        <v>13</v>
      </c>
      <c r="F213" t="s">
        <v>38</v>
      </c>
      <c r="G213" s="1">
        <v>36714.379999999997</v>
      </c>
      <c r="H213" s="4">
        <v>44116</v>
      </c>
      <c r="I213" s="4" t="str">
        <f t="shared" si="10"/>
        <v>Oct</v>
      </c>
      <c r="J213" s="3">
        <v>1</v>
      </c>
      <c r="K213" t="s">
        <v>12</v>
      </c>
      <c r="L213" t="s">
        <v>510</v>
      </c>
      <c r="M213" t="str">
        <f t="shared" si="11"/>
        <v>full time</v>
      </c>
      <c r="N213" t="str">
        <f t="shared" si="9"/>
        <v>Available</v>
      </c>
    </row>
    <row r="214" spans="3:14" x14ac:dyDescent="0.3">
      <c r="C214" t="s">
        <v>30</v>
      </c>
      <c r="D214" t="s">
        <v>31</v>
      </c>
      <c r="E214" t="s">
        <v>10</v>
      </c>
      <c r="F214" t="s">
        <v>32</v>
      </c>
      <c r="G214" s="1">
        <v>67905.8</v>
      </c>
      <c r="H214" s="4">
        <v>44194</v>
      </c>
      <c r="I214" s="4" t="str">
        <f t="shared" si="10"/>
        <v>Dec</v>
      </c>
      <c r="J214" s="3">
        <v>1</v>
      </c>
      <c r="K214" t="s">
        <v>12</v>
      </c>
      <c r="L214" t="s">
        <v>511</v>
      </c>
      <c r="M214" t="str">
        <f t="shared" si="11"/>
        <v>full time</v>
      </c>
      <c r="N214" t="str">
        <f t="shared" si="9"/>
        <v>Available</v>
      </c>
    </row>
    <row r="215" spans="3:14" x14ac:dyDescent="0.3">
      <c r="C215" t="s">
        <v>193</v>
      </c>
      <c r="D215" t="s">
        <v>186</v>
      </c>
      <c r="E215" t="s">
        <v>13</v>
      </c>
      <c r="F215" t="s">
        <v>14</v>
      </c>
      <c r="G215" s="1">
        <v>69862.38</v>
      </c>
      <c r="H215" s="4">
        <v>43458</v>
      </c>
      <c r="I215" s="4" t="str">
        <f t="shared" si="10"/>
        <v>Dec</v>
      </c>
      <c r="J215" s="3">
        <v>1</v>
      </c>
      <c r="K215" t="s">
        <v>12</v>
      </c>
      <c r="L215" t="s">
        <v>505</v>
      </c>
      <c r="M215" t="str">
        <f t="shared" si="11"/>
        <v>full time</v>
      </c>
      <c r="N215" t="str">
        <f t="shared" si="9"/>
        <v>Available</v>
      </c>
    </row>
    <row r="216" spans="3:14" x14ac:dyDescent="0.3">
      <c r="C216" t="s">
        <v>472</v>
      </c>
      <c r="D216" t="s">
        <v>473</v>
      </c>
      <c r="E216" t="s">
        <v>13</v>
      </c>
      <c r="F216" t="s">
        <v>19</v>
      </c>
      <c r="G216" s="1">
        <v>106400.02</v>
      </c>
      <c r="H216" s="4">
        <v>44081</v>
      </c>
      <c r="I216" s="4" t="str">
        <f t="shared" si="10"/>
        <v>Sep</v>
      </c>
      <c r="J216" s="3">
        <v>1</v>
      </c>
      <c r="K216" t="s">
        <v>420</v>
      </c>
      <c r="L216" t="s">
        <v>510</v>
      </c>
      <c r="M216" t="str">
        <f t="shared" si="11"/>
        <v>full time</v>
      </c>
      <c r="N216" t="str">
        <f t="shared" si="9"/>
        <v>Available</v>
      </c>
    </row>
    <row r="217" spans="3:14" x14ac:dyDescent="0.3">
      <c r="C217" t="s">
        <v>181</v>
      </c>
      <c r="D217" t="s">
        <v>182</v>
      </c>
      <c r="E217" t="s">
        <v>13</v>
      </c>
      <c r="F217" t="s">
        <v>14</v>
      </c>
      <c r="G217" s="1">
        <v>103494.94</v>
      </c>
      <c r="H217" s="4">
        <v>43256</v>
      </c>
      <c r="I217" s="4" t="str">
        <f t="shared" si="10"/>
        <v>Jun</v>
      </c>
      <c r="J217" s="3">
        <v>1</v>
      </c>
      <c r="K217" t="s">
        <v>12</v>
      </c>
      <c r="L217" t="s">
        <v>511</v>
      </c>
      <c r="M217" t="str">
        <f t="shared" si="11"/>
        <v>full time</v>
      </c>
      <c r="N217" t="str">
        <f t="shared" si="9"/>
        <v>Available</v>
      </c>
    </row>
    <row r="218" spans="3:14" x14ac:dyDescent="0.3">
      <c r="C218" t="s">
        <v>137</v>
      </c>
      <c r="D218" t="s">
        <v>138</v>
      </c>
      <c r="E218" t="s">
        <v>10</v>
      </c>
      <c r="F218" t="s">
        <v>28</v>
      </c>
      <c r="G218" s="1">
        <v>61213.01</v>
      </c>
      <c r="H218" s="4">
        <v>44365</v>
      </c>
      <c r="I218" s="4" t="str">
        <f t="shared" si="10"/>
        <v>Jun</v>
      </c>
      <c r="J218" s="3">
        <v>1</v>
      </c>
      <c r="K218" t="s">
        <v>12</v>
      </c>
      <c r="L218" t="s">
        <v>510</v>
      </c>
      <c r="M218" t="str">
        <f t="shared" si="11"/>
        <v>full time</v>
      </c>
      <c r="N218" t="str">
        <f t="shared" si="9"/>
        <v>Available</v>
      </c>
    </row>
    <row r="219" spans="3:14" x14ac:dyDescent="0.3">
      <c r="C219" t="s">
        <v>313</v>
      </c>
      <c r="D219" t="s">
        <v>314</v>
      </c>
      <c r="E219" t="s">
        <v>13</v>
      </c>
      <c r="F219" t="s">
        <v>29</v>
      </c>
      <c r="G219" s="1">
        <v>69709.509999999995</v>
      </c>
      <c r="H219" s="4">
        <v>43472</v>
      </c>
      <c r="I219" s="4" t="str">
        <f t="shared" si="10"/>
        <v>Jan</v>
      </c>
      <c r="J219" s="3">
        <v>1</v>
      </c>
      <c r="K219" t="s">
        <v>12</v>
      </c>
      <c r="L219" t="s">
        <v>509</v>
      </c>
      <c r="M219" t="str">
        <f t="shared" si="11"/>
        <v>full time</v>
      </c>
      <c r="N219" t="str">
        <f t="shared" si="9"/>
        <v>Available</v>
      </c>
    </row>
    <row r="220" spans="3:14" x14ac:dyDescent="0.3">
      <c r="C220" t="s">
        <v>391</v>
      </c>
      <c r="D220" t="s">
        <v>370</v>
      </c>
      <c r="E220" t="s">
        <v>10</v>
      </c>
      <c r="F220" t="s">
        <v>29</v>
      </c>
      <c r="G220" s="1">
        <v>46751.7</v>
      </c>
      <c r="H220" s="4">
        <v>43843</v>
      </c>
      <c r="I220" s="4" t="str">
        <f t="shared" si="10"/>
        <v>Jan</v>
      </c>
      <c r="J220" s="3">
        <v>1</v>
      </c>
      <c r="K220" t="s">
        <v>335</v>
      </c>
      <c r="L220" t="s">
        <v>509</v>
      </c>
      <c r="M220" t="str">
        <f t="shared" si="11"/>
        <v>full time</v>
      </c>
      <c r="N220" t="str">
        <f t="shared" si="9"/>
        <v>Available</v>
      </c>
    </row>
    <row r="221" spans="3:14" x14ac:dyDescent="0.3">
      <c r="C221" t="s">
        <v>62</v>
      </c>
      <c r="D221" t="s">
        <v>63</v>
      </c>
      <c r="E221" t="s">
        <v>13</v>
      </c>
      <c r="F221" t="s">
        <v>25</v>
      </c>
      <c r="G221" s="1">
        <v>77096.05</v>
      </c>
      <c r="H221" s="4">
        <v>43217</v>
      </c>
      <c r="I221" s="4" t="str">
        <f t="shared" si="10"/>
        <v>Apr</v>
      </c>
      <c r="J221" s="3">
        <v>1</v>
      </c>
      <c r="K221" t="s">
        <v>12</v>
      </c>
      <c r="L221" t="s">
        <v>510</v>
      </c>
      <c r="M221" t="str">
        <f t="shared" si="11"/>
        <v>full time</v>
      </c>
      <c r="N221" t="str">
        <f t="shared" si="9"/>
        <v>Available</v>
      </c>
    </row>
    <row r="222" spans="3:14" x14ac:dyDescent="0.3">
      <c r="C222" t="s">
        <v>216</v>
      </c>
      <c r="D222" t="s">
        <v>217</v>
      </c>
      <c r="E222" t="s">
        <v>13</v>
      </c>
      <c r="F222" t="s">
        <v>15</v>
      </c>
      <c r="G222" s="1">
        <v>77743.149999999994</v>
      </c>
      <c r="H222" s="4">
        <v>43920</v>
      </c>
      <c r="I222" s="4" t="str">
        <f t="shared" si="10"/>
        <v>Mar</v>
      </c>
      <c r="J222" s="3">
        <v>1</v>
      </c>
      <c r="K222" t="s">
        <v>12</v>
      </c>
      <c r="L222" t="s">
        <v>510</v>
      </c>
      <c r="M222" t="str">
        <f t="shared" si="11"/>
        <v>full time</v>
      </c>
      <c r="N222" t="str">
        <f t="shared" si="9"/>
        <v>Available</v>
      </c>
    </row>
    <row r="223" spans="3:14" x14ac:dyDescent="0.3">
      <c r="C223" t="s">
        <v>66</v>
      </c>
      <c r="D223" t="s">
        <v>67</v>
      </c>
      <c r="E223" t="s">
        <v>13</v>
      </c>
      <c r="F223" t="s">
        <v>14</v>
      </c>
      <c r="G223" s="1">
        <v>48525.71</v>
      </c>
      <c r="H223" s="4">
        <v>43264</v>
      </c>
      <c r="I223" s="4" t="str">
        <f t="shared" si="10"/>
        <v>Jun</v>
      </c>
      <c r="J223" s="3">
        <v>1</v>
      </c>
      <c r="K223" t="s">
        <v>12</v>
      </c>
      <c r="L223" t="s">
        <v>509</v>
      </c>
      <c r="M223" t="str">
        <f t="shared" si="11"/>
        <v>full time</v>
      </c>
      <c r="N223" t="str">
        <f t="shared" si="9"/>
        <v>Available</v>
      </c>
    </row>
    <row r="224" spans="3:14" x14ac:dyDescent="0.3">
      <c r="C224" t="s">
        <v>269</v>
      </c>
      <c r="D224" t="s">
        <v>270</v>
      </c>
      <c r="E224" t="s">
        <v>10</v>
      </c>
      <c r="F224" t="s">
        <v>11</v>
      </c>
      <c r="G224" s="1">
        <f>MEDIAN(G97:G138)</f>
        <v>72107.299999999988</v>
      </c>
      <c r="H224" s="4">
        <v>44035</v>
      </c>
      <c r="I224" s="4" t="str">
        <f t="shared" si="10"/>
        <v>Jul</v>
      </c>
      <c r="J224" s="3">
        <v>1</v>
      </c>
      <c r="K224" t="s">
        <v>12</v>
      </c>
      <c r="L224" t="s">
        <v>506</v>
      </c>
      <c r="M224" t="str">
        <f t="shared" si="11"/>
        <v>full time</v>
      </c>
      <c r="N224" t="str">
        <f t="shared" si="9"/>
        <v>Available</v>
      </c>
    </row>
    <row r="225" spans="3:14" x14ac:dyDescent="0.3">
      <c r="C225" t="s">
        <v>416</v>
      </c>
      <c r="D225" t="s">
        <v>417</v>
      </c>
      <c r="E225" t="s">
        <v>13</v>
      </c>
      <c r="F225" t="s">
        <v>14</v>
      </c>
      <c r="G225" s="1">
        <v>65569.36</v>
      </c>
      <c r="H225" s="4">
        <v>43441</v>
      </c>
      <c r="I225" s="4" t="str">
        <f t="shared" si="10"/>
        <v>Dec</v>
      </c>
      <c r="J225" s="3">
        <v>1</v>
      </c>
      <c r="K225" t="s">
        <v>335</v>
      </c>
      <c r="L225" t="s">
        <v>506</v>
      </c>
      <c r="M225" t="str">
        <f t="shared" si="11"/>
        <v>full time</v>
      </c>
      <c r="N225" t="str">
        <f t="shared" si="9"/>
        <v>Available</v>
      </c>
    </row>
    <row r="226" spans="3:14" x14ac:dyDescent="0.3">
      <c r="C226" t="s">
        <v>255</v>
      </c>
      <c r="D226" t="s">
        <v>256</v>
      </c>
      <c r="E226" t="s">
        <v>13</v>
      </c>
      <c r="F226" t="s">
        <v>16</v>
      </c>
      <c r="G226" s="1">
        <v>0</v>
      </c>
      <c r="H226" s="4">
        <v>44501</v>
      </c>
      <c r="I226" s="4" t="str">
        <f t="shared" si="10"/>
        <v>Nov</v>
      </c>
      <c r="J226" s="3">
        <v>0.7</v>
      </c>
      <c r="K226" t="s">
        <v>12</v>
      </c>
      <c r="L226" t="s">
        <v>508</v>
      </c>
      <c r="M226" t="str">
        <f t="shared" si="11"/>
        <v>part time</v>
      </c>
      <c r="N226" t="str">
        <f t="shared" si="9"/>
        <v>Available</v>
      </c>
    </row>
    <row r="227" spans="3:14" x14ac:dyDescent="0.3">
      <c r="C227" t="s">
        <v>206</v>
      </c>
      <c r="D227" t="s">
        <v>207</v>
      </c>
      <c r="E227" t="s">
        <v>10</v>
      </c>
      <c r="F227" t="s">
        <v>24</v>
      </c>
      <c r="G227" s="1">
        <v>114772.32</v>
      </c>
      <c r="H227" s="4">
        <v>44251</v>
      </c>
      <c r="I227" s="4" t="str">
        <f t="shared" si="10"/>
        <v>Feb</v>
      </c>
      <c r="J227" s="3">
        <v>1</v>
      </c>
      <c r="K227" t="s">
        <v>12</v>
      </c>
      <c r="L227" t="s">
        <v>507</v>
      </c>
      <c r="M227" t="str">
        <f t="shared" si="11"/>
        <v>full time</v>
      </c>
      <c r="N227" t="str">
        <f t="shared" si="9"/>
        <v>Missing</v>
      </c>
    </row>
    <row r="228" spans="3:14" x14ac:dyDescent="0.3">
      <c r="C228" t="s">
        <v>202</v>
      </c>
      <c r="D228" t="s">
        <v>203</v>
      </c>
      <c r="E228" t="s">
        <v>10</v>
      </c>
      <c r="F228" t="s">
        <v>11</v>
      </c>
      <c r="G228" s="1">
        <v>56253.81</v>
      </c>
      <c r="H228" s="4">
        <v>44421</v>
      </c>
      <c r="I228" s="4" t="str">
        <f t="shared" si="10"/>
        <v>Aug</v>
      </c>
      <c r="J228" s="3">
        <v>1</v>
      </c>
      <c r="K228" t="s">
        <v>12</v>
      </c>
      <c r="L228" t="s">
        <v>506</v>
      </c>
      <c r="M228" t="str">
        <f t="shared" si="11"/>
        <v>full time</v>
      </c>
      <c r="N228" t="str">
        <f t="shared" si="9"/>
        <v>Available</v>
      </c>
    </row>
    <row r="229" spans="3:14" x14ac:dyDescent="0.3">
      <c r="C229" t="s">
        <v>204</v>
      </c>
      <c r="D229" t="s">
        <v>205</v>
      </c>
      <c r="E229" t="s">
        <v>10</v>
      </c>
      <c r="F229" t="s">
        <v>15</v>
      </c>
      <c r="G229" s="1">
        <v>51798.25</v>
      </c>
      <c r="H229" s="4">
        <v>43665</v>
      </c>
      <c r="I229" s="4" t="str">
        <f t="shared" si="10"/>
        <v>Jul</v>
      </c>
      <c r="J229" s="3">
        <v>1</v>
      </c>
      <c r="K229" t="s">
        <v>12</v>
      </c>
      <c r="L229" t="s">
        <v>509</v>
      </c>
      <c r="M229" t="str">
        <f t="shared" si="11"/>
        <v>full time</v>
      </c>
      <c r="N229" t="str">
        <f t="shared" si="9"/>
        <v>Available</v>
      </c>
    </row>
    <row r="230" spans="3:14" x14ac:dyDescent="0.3">
      <c r="C230" t="s">
        <v>317</v>
      </c>
      <c r="D230" t="s">
        <v>318</v>
      </c>
      <c r="E230" t="s">
        <v>13</v>
      </c>
      <c r="F230" t="s">
        <v>14</v>
      </c>
      <c r="G230" s="1">
        <v>28329.77</v>
      </c>
      <c r="H230" s="4">
        <v>43402</v>
      </c>
      <c r="I230" s="4" t="str">
        <f t="shared" si="10"/>
        <v>Oct</v>
      </c>
      <c r="J230" s="3">
        <v>1</v>
      </c>
      <c r="K230" t="s">
        <v>12</v>
      </c>
      <c r="L230" t="s">
        <v>508</v>
      </c>
      <c r="M230" t="str">
        <f t="shared" si="11"/>
        <v>full time</v>
      </c>
      <c r="N230" t="str">
        <f t="shared" si="9"/>
        <v>Available</v>
      </c>
    </row>
    <row r="231" spans="3:14" x14ac:dyDescent="0.3">
      <c r="C231" t="s">
        <v>364</v>
      </c>
      <c r="D231" t="s">
        <v>365</v>
      </c>
      <c r="E231" t="s">
        <v>10</v>
      </c>
      <c r="F231" t="s">
        <v>11</v>
      </c>
      <c r="G231" s="1">
        <v>93964.3</v>
      </c>
      <c r="H231" s="4">
        <v>44454</v>
      </c>
      <c r="I231" s="4" t="str">
        <f t="shared" si="10"/>
        <v>Sep</v>
      </c>
      <c r="J231" s="3">
        <v>0.4</v>
      </c>
      <c r="K231" t="s">
        <v>335</v>
      </c>
      <c r="L231" t="s">
        <v>509</v>
      </c>
      <c r="M231" t="str">
        <f t="shared" si="11"/>
        <v>part time</v>
      </c>
      <c r="N231" t="str">
        <f t="shared" si="9"/>
        <v>Available</v>
      </c>
    </row>
    <row r="232" spans="3:14" x14ac:dyDescent="0.3">
      <c r="C232" t="s">
        <v>311</v>
      </c>
      <c r="D232" t="s">
        <v>312</v>
      </c>
      <c r="E232" t="s">
        <v>13</v>
      </c>
      <c r="F232" t="s">
        <v>19</v>
      </c>
      <c r="G232" s="1">
        <v>90884.32</v>
      </c>
      <c r="H232" s="4">
        <v>44039</v>
      </c>
      <c r="I232" s="4" t="str">
        <f t="shared" si="10"/>
        <v>Jul</v>
      </c>
      <c r="J232" s="3">
        <v>0.5</v>
      </c>
      <c r="K232" t="s">
        <v>12</v>
      </c>
      <c r="L232" t="s">
        <v>507</v>
      </c>
      <c r="M232" t="str">
        <f t="shared" si="11"/>
        <v>part time</v>
      </c>
      <c r="N232" t="str">
        <f t="shared" si="9"/>
        <v>Available</v>
      </c>
    </row>
    <row r="233" spans="3:14" x14ac:dyDescent="0.3">
      <c r="C233" t="s">
        <v>56</v>
      </c>
      <c r="D233" t="s">
        <v>57</v>
      </c>
      <c r="E233" t="s">
        <v>13</v>
      </c>
      <c r="F233" t="s">
        <v>25</v>
      </c>
      <c r="G233" s="1">
        <v>84742.86</v>
      </c>
      <c r="H233" s="4">
        <v>44098</v>
      </c>
      <c r="I233" s="4" t="str">
        <f t="shared" si="10"/>
        <v>Sep</v>
      </c>
      <c r="J233" s="3">
        <v>1</v>
      </c>
      <c r="K233" t="s">
        <v>12</v>
      </c>
      <c r="L233" t="s">
        <v>506</v>
      </c>
      <c r="M233" t="str">
        <f t="shared" si="11"/>
        <v>full time</v>
      </c>
      <c r="N233" t="str">
        <f t="shared" si="9"/>
        <v>Available</v>
      </c>
    </row>
    <row r="234" spans="3:14" x14ac:dyDescent="0.3">
      <c r="C234" t="s">
        <v>456</v>
      </c>
      <c r="D234" t="s">
        <v>457</v>
      </c>
      <c r="E234" t="s">
        <v>13</v>
      </c>
      <c r="F234" t="s">
        <v>33</v>
      </c>
      <c r="G234" s="1">
        <v>80772.92</v>
      </c>
      <c r="H234" s="4">
        <v>44137</v>
      </c>
      <c r="I234" s="4" t="str">
        <f t="shared" si="10"/>
        <v>Nov</v>
      </c>
      <c r="J234" s="3">
        <v>1</v>
      </c>
      <c r="K234" t="s">
        <v>420</v>
      </c>
      <c r="L234" t="s">
        <v>511</v>
      </c>
      <c r="M234" t="str">
        <f t="shared" si="11"/>
        <v>full time</v>
      </c>
      <c r="N234" t="str">
        <f t="shared" si="9"/>
        <v>Available</v>
      </c>
    </row>
    <row r="235" spans="3:14" x14ac:dyDescent="0.3">
      <c r="C235" t="s">
        <v>251</v>
      </c>
      <c r="D235" t="s">
        <v>252</v>
      </c>
      <c r="E235" t="s">
        <v>10</v>
      </c>
      <c r="F235" t="s">
        <v>14</v>
      </c>
      <c r="G235" s="1">
        <v>85264.38</v>
      </c>
      <c r="H235" s="4">
        <v>43220</v>
      </c>
      <c r="I235" s="4" t="str">
        <f t="shared" si="10"/>
        <v>Apr</v>
      </c>
      <c r="J235" s="3">
        <v>1</v>
      </c>
      <c r="K235" t="s">
        <v>12</v>
      </c>
      <c r="L235" t="s">
        <v>510</v>
      </c>
      <c r="M235" t="str">
        <f t="shared" si="11"/>
        <v>full time</v>
      </c>
      <c r="N235" t="str">
        <f t="shared" si="9"/>
        <v>Available</v>
      </c>
    </row>
    <row r="236" spans="3:14" x14ac:dyDescent="0.3">
      <c r="C236" t="s">
        <v>238</v>
      </c>
      <c r="D236" t="s">
        <v>239</v>
      </c>
      <c r="E236" t="s">
        <v>13</v>
      </c>
      <c r="F236" t="s">
        <v>14</v>
      </c>
      <c r="G236" s="1">
        <v>51165.37</v>
      </c>
      <c r="H236" s="4">
        <v>43514</v>
      </c>
      <c r="I236" s="4" t="str">
        <f t="shared" si="10"/>
        <v>Feb</v>
      </c>
      <c r="J236" s="3">
        <v>1</v>
      </c>
      <c r="K236" t="s">
        <v>12</v>
      </c>
      <c r="L236" t="s">
        <v>507</v>
      </c>
      <c r="M236" t="str">
        <f t="shared" si="11"/>
        <v>full time</v>
      </c>
      <c r="N236" t="str">
        <f t="shared" si="9"/>
        <v>Available</v>
      </c>
    </row>
    <row r="237" spans="3:14" x14ac:dyDescent="0.3">
      <c r="C237" t="s">
        <v>88</v>
      </c>
      <c r="D237" t="s">
        <v>89</v>
      </c>
      <c r="E237" t="s">
        <v>10</v>
      </c>
      <c r="F237" t="s">
        <v>16</v>
      </c>
      <c r="G237" s="1">
        <v>78378.2</v>
      </c>
      <c r="H237" s="4">
        <v>43465</v>
      </c>
      <c r="I237" s="4" t="str">
        <f t="shared" si="10"/>
        <v>Dec</v>
      </c>
      <c r="J237" s="3">
        <v>0.4</v>
      </c>
      <c r="K237" t="s">
        <v>12</v>
      </c>
      <c r="L237" t="s">
        <v>511</v>
      </c>
      <c r="M237" t="str">
        <f t="shared" si="11"/>
        <v>part time</v>
      </c>
      <c r="N237" t="str">
        <f t="shared" si="9"/>
        <v>Available</v>
      </c>
    </row>
    <row r="238" spans="3:14" x14ac:dyDescent="0.3">
      <c r="C238" t="s">
        <v>385</v>
      </c>
      <c r="D238" t="s">
        <v>386</v>
      </c>
      <c r="E238" t="s">
        <v>13</v>
      </c>
      <c r="F238" t="s">
        <v>33</v>
      </c>
      <c r="G238" s="1">
        <v>91314.75</v>
      </c>
      <c r="H238" s="4">
        <v>44108</v>
      </c>
      <c r="I238" s="4" t="str">
        <f t="shared" si="10"/>
        <v>Oct</v>
      </c>
      <c r="J238" s="3">
        <v>1</v>
      </c>
      <c r="K238" t="s">
        <v>335</v>
      </c>
      <c r="L238" t="s">
        <v>508</v>
      </c>
      <c r="M238" t="str">
        <f t="shared" si="11"/>
        <v>full time</v>
      </c>
      <c r="N238" t="str">
        <f t="shared" si="9"/>
        <v>Available</v>
      </c>
    </row>
    <row r="239" spans="3:14" x14ac:dyDescent="0.3">
      <c r="C239" t="s">
        <v>298</v>
      </c>
      <c r="D239" t="s">
        <v>299</v>
      </c>
      <c r="E239" t="s">
        <v>13</v>
      </c>
      <c r="F239" t="s">
        <v>38</v>
      </c>
      <c r="G239" s="1">
        <v>30077.45</v>
      </c>
      <c r="H239" s="4">
        <v>43709</v>
      </c>
      <c r="I239" s="4" t="str">
        <f t="shared" si="10"/>
        <v>Sep</v>
      </c>
      <c r="J239" s="3">
        <v>1</v>
      </c>
      <c r="K239" t="s">
        <v>12</v>
      </c>
      <c r="L239" t="s">
        <v>505</v>
      </c>
      <c r="M239" t="str">
        <f t="shared" si="11"/>
        <v>full time</v>
      </c>
      <c r="N239" t="str">
        <f t="shared" si="9"/>
        <v>Available</v>
      </c>
    </row>
    <row r="240" spans="3:14" x14ac:dyDescent="0.3">
      <c r="C240" t="s">
        <v>315</v>
      </c>
      <c r="D240" t="s">
        <v>316</v>
      </c>
      <c r="E240" t="s">
        <v>10</v>
      </c>
      <c r="F240" t="s">
        <v>39</v>
      </c>
      <c r="G240" s="1">
        <v>98012.63</v>
      </c>
      <c r="H240" s="4">
        <v>43780</v>
      </c>
      <c r="I240" s="4" t="str">
        <f t="shared" si="10"/>
        <v>Nov</v>
      </c>
      <c r="J240" s="3">
        <v>1</v>
      </c>
      <c r="K240" t="s">
        <v>12</v>
      </c>
      <c r="L240" t="s">
        <v>511</v>
      </c>
      <c r="M240" t="str">
        <f t="shared" si="11"/>
        <v>full time</v>
      </c>
      <c r="N240" t="str">
        <f t="shared" si="9"/>
        <v>Available</v>
      </c>
    </row>
    <row r="241" spans="3:14" x14ac:dyDescent="0.3">
      <c r="C241" t="s">
        <v>105</v>
      </c>
      <c r="D241" t="s">
        <v>106</v>
      </c>
      <c r="E241" t="s">
        <v>13</v>
      </c>
      <c r="F241" t="s">
        <v>14</v>
      </c>
      <c r="G241" s="1">
        <v>72876.91</v>
      </c>
      <c r="H241" s="4">
        <v>44013</v>
      </c>
      <c r="I241" s="4" t="str">
        <f t="shared" si="10"/>
        <v>Jul</v>
      </c>
      <c r="J241" s="3">
        <v>1</v>
      </c>
      <c r="K241" t="s">
        <v>12</v>
      </c>
      <c r="L241" t="s">
        <v>511</v>
      </c>
      <c r="M241" t="str">
        <f t="shared" si="11"/>
        <v>full time</v>
      </c>
      <c r="N241" t="str">
        <f t="shared" si="9"/>
        <v>Available</v>
      </c>
    </row>
    <row r="242" spans="3:14" x14ac:dyDescent="0.3">
      <c r="C242" t="s">
        <v>502</v>
      </c>
      <c r="D242" t="s">
        <v>503</v>
      </c>
      <c r="E242" t="s">
        <v>13</v>
      </c>
      <c r="F242" t="s">
        <v>16</v>
      </c>
      <c r="G242" s="1">
        <v>92943.89</v>
      </c>
      <c r="H242" s="4">
        <v>44480</v>
      </c>
      <c r="I242" s="4" t="str">
        <f t="shared" si="10"/>
        <v>Oct</v>
      </c>
      <c r="J242" s="3">
        <v>1</v>
      </c>
      <c r="K242" t="s">
        <v>12</v>
      </c>
      <c r="L242" t="s">
        <v>509</v>
      </c>
      <c r="M242" t="str">
        <f t="shared" si="11"/>
        <v>full time</v>
      </c>
      <c r="N242" t="str">
        <f t="shared" si="9"/>
        <v>Available</v>
      </c>
    </row>
    <row r="243" spans="3:14" x14ac:dyDescent="0.3">
      <c r="C243" t="s">
        <v>486</v>
      </c>
      <c r="D243" t="s">
        <v>487</v>
      </c>
      <c r="E243" t="s">
        <v>10</v>
      </c>
      <c r="F243" t="s">
        <v>14</v>
      </c>
      <c r="G243" s="1">
        <v>29808.07</v>
      </c>
      <c r="H243" s="4">
        <v>43380</v>
      </c>
      <c r="I243" s="4" t="str">
        <f t="shared" si="10"/>
        <v>Oct</v>
      </c>
      <c r="J243" s="3">
        <v>0.3</v>
      </c>
      <c r="K243" t="s">
        <v>420</v>
      </c>
      <c r="L243" t="s">
        <v>509</v>
      </c>
      <c r="M243" t="str">
        <f t="shared" si="11"/>
        <v>part time</v>
      </c>
      <c r="N243" t="str">
        <f t="shared" si="9"/>
        <v>Available</v>
      </c>
    </row>
    <row r="244" spans="3:14" x14ac:dyDescent="0.3">
      <c r="C244" t="s">
        <v>115</v>
      </c>
      <c r="D244" t="s">
        <v>116</v>
      </c>
      <c r="E244" t="s">
        <v>10</v>
      </c>
      <c r="F244" t="s">
        <v>33</v>
      </c>
      <c r="G244" s="1">
        <v>47551.89</v>
      </c>
      <c r="H244" s="4">
        <v>43525</v>
      </c>
      <c r="I244" s="4" t="str">
        <f t="shared" si="10"/>
        <v>Mar</v>
      </c>
      <c r="J244" s="3">
        <v>1</v>
      </c>
      <c r="K244" t="s">
        <v>12</v>
      </c>
      <c r="L244" t="s">
        <v>506</v>
      </c>
      <c r="M244" t="str">
        <f t="shared" si="11"/>
        <v>full time</v>
      </c>
      <c r="N244" t="str">
        <f t="shared" si="9"/>
        <v>Available</v>
      </c>
    </row>
    <row r="245" spans="3:14" x14ac:dyDescent="0.3">
      <c r="C245" t="s">
        <v>373</v>
      </c>
      <c r="D245" t="s">
        <v>374</v>
      </c>
      <c r="E245" t="s">
        <v>10</v>
      </c>
      <c r="F245" t="s">
        <v>28</v>
      </c>
      <c r="G245" s="1">
        <v>31089.22</v>
      </c>
      <c r="H245" s="4">
        <v>43657</v>
      </c>
      <c r="I245" s="4" t="str">
        <f t="shared" si="10"/>
        <v>Jul</v>
      </c>
      <c r="J245" s="3">
        <v>1</v>
      </c>
      <c r="K245" t="s">
        <v>335</v>
      </c>
      <c r="L245" t="s">
        <v>510</v>
      </c>
      <c r="M245" t="str">
        <f t="shared" si="11"/>
        <v>full time</v>
      </c>
      <c r="N245" t="str">
        <f t="shared" si="9"/>
        <v>Available</v>
      </c>
    </row>
    <row r="246" spans="3:14" x14ac:dyDescent="0.3">
      <c r="C246" t="s">
        <v>232</v>
      </c>
      <c r="D246" t="s">
        <v>233</v>
      </c>
      <c r="E246" t="s">
        <v>10</v>
      </c>
      <c r="F246" t="s">
        <v>33</v>
      </c>
      <c r="G246" s="1">
        <v>78020.39</v>
      </c>
      <c r="H246" s="4">
        <v>44077</v>
      </c>
      <c r="I246" s="4" t="str">
        <f t="shared" si="10"/>
        <v>Sep</v>
      </c>
      <c r="J246" s="3">
        <v>1</v>
      </c>
      <c r="K246" t="s">
        <v>12</v>
      </c>
      <c r="L246" t="s">
        <v>511</v>
      </c>
      <c r="M246" t="str">
        <f t="shared" si="11"/>
        <v>full time</v>
      </c>
      <c r="N246" t="str">
        <f t="shared" si="9"/>
        <v>Available</v>
      </c>
    </row>
    <row r="278" spans="7:10" x14ac:dyDescent="0.3">
      <c r="G278" s="1"/>
      <c r="H278" s="4"/>
      <c r="I278" s="4"/>
      <c r="J278" s="3"/>
    </row>
    <row r="279" spans="7:10" x14ac:dyDescent="0.3">
      <c r="G279" s="1"/>
      <c r="H279" s="4"/>
      <c r="I279" s="4"/>
      <c r="J279" s="3"/>
    </row>
    <row r="280" spans="7:10" x14ac:dyDescent="0.3">
      <c r="G280" s="1"/>
      <c r="H280" s="4"/>
      <c r="I280" s="4"/>
      <c r="J280" s="3"/>
    </row>
    <row r="281" spans="7:10" x14ac:dyDescent="0.3">
      <c r="G281" s="1"/>
      <c r="H281" s="4"/>
      <c r="I281" s="4"/>
      <c r="J281" s="3"/>
    </row>
    <row r="282" spans="7:10" x14ac:dyDescent="0.3">
      <c r="G282" s="1"/>
      <c r="H282" s="4"/>
      <c r="I282" s="4"/>
      <c r="J282" s="3"/>
    </row>
    <row r="283" spans="7:10" x14ac:dyDescent="0.3">
      <c r="G283" s="1"/>
      <c r="H283" s="4"/>
      <c r="I283" s="4"/>
      <c r="J283" s="3"/>
    </row>
    <row r="284" spans="7:10" x14ac:dyDescent="0.3">
      <c r="G284" s="1"/>
      <c r="H284" s="4"/>
      <c r="I284" s="4"/>
      <c r="J284" s="3"/>
    </row>
    <row r="285" spans="7:10" x14ac:dyDescent="0.3">
      <c r="G285" s="1"/>
      <c r="H285" s="4"/>
      <c r="I285" s="4"/>
      <c r="J285" s="3"/>
    </row>
    <row r="286" spans="7:10" x14ac:dyDescent="0.3">
      <c r="G286" s="1"/>
      <c r="H286" s="4"/>
      <c r="I286" s="4"/>
      <c r="J286" s="3"/>
    </row>
    <row r="287" spans="7:10" x14ac:dyDescent="0.3">
      <c r="G287" s="1"/>
      <c r="H287" s="4"/>
      <c r="I287" s="4"/>
      <c r="J287" s="3"/>
    </row>
    <row r="288" spans="7:10" x14ac:dyDescent="0.3">
      <c r="G288" s="1"/>
      <c r="H288" s="4"/>
      <c r="I288" s="4"/>
      <c r="J288" s="3"/>
    </row>
    <row r="289" spans="7:10" x14ac:dyDescent="0.3">
      <c r="G289" s="1"/>
      <c r="H289" s="4"/>
      <c r="I289" s="4"/>
      <c r="J289" s="3"/>
    </row>
    <row r="290" spans="7:10" x14ac:dyDescent="0.3">
      <c r="G290" s="1"/>
      <c r="H290" s="4"/>
      <c r="I290" s="4"/>
      <c r="J290" s="3"/>
    </row>
    <row r="291" spans="7:10" x14ac:dyDescent="0.3">
      <c r="G291" s="1"/>
      <c r="H291" s="4"/>
      <c r="I291" s="4"/>
      <c r="J291" s="3"/>
    </row>
    <row r="292" spans="7:10" x14ac:dyDescent="0.3">
      <c r="G292" s="1"/>
      <c r="H292" s="4"/>
      <c r="I292" s="4"/>
      <c r="J292" s="3"/>
    </row>
    <row r="293" spans="7:10" x14ac:dyDescent="0.3">
      <c r="G293" s="1"/>
      <c r="H293" s="4"/>
      <c r="I293" s="4"/>
      <c r="J293" s="3"/>
    </row>
    <row r="294" spans="7:10" x14ac:dyDescent="0.3">
      <c r="G294" s="1"/>
      <c r="H294" s="4"/>
      <c r="I294" s="4"/>
      <c r="J294" s="3"/>
    </row>
    <row r="295" spans="7:10" x14ac:dyDescent="0.3">
      <c r="G295" s="1"/>
      <c r="H295" s="4"/>
      <c r="I295" s="4"/>
      <c r="J295" s="3"/>
    </row>
    <row r="296" spans="7:10" x14ac:dyDescent="0.3">
      <c r="G296" s="1"/>
      <c r="H296" s="4"/>
      <c r="I296" s="4"/>
      <c r="J296" s="3"/>
    </row>
    <row r="297" spans="7:10" x14ac:dyDescent="0.3">
      <c r="G297" s="1"/>
      <c r="H297" s="4"/>
      <c r="I297" s="4"/>
      <c r="J297" s="3"/>
    </row>
    <row r="298" spans="7:10" x14ac:dyDescent="0.3">
      <c r="G298" s="1"/>
      <c r="H298" s="4"/>
      <c r="I298" s="4"/>
      <c r="J298" s="3"/>
    </row>
    <row r="299" spans="7:10" x14ac:dyDescent="0.3">
      <c r="G299" s="1"/>
      <c r="H299" s="4"/>
      <c r="I299" s="4"/>
      <c r="J299" s="3"/>
    </row>
    <row r="300" spans="7:10" x14ac:dyDescent="0.3">
      <c r="G300" s="1"/>
      <c r="H300" s="4"/>
      <c r="I300" s="4"/>
      <c r="J300" s="3"/>
    </row>
    <row r="301" spans="7:10" x14ac:dyDescent="0.3">
      <c r="G301" s="1"/>
      <c r="H301" s="4"/>
      <c r="I301" s="4"/>
      <c r="J301" s="3"/>
    </row>
    <row r="302" spans="7:10" x14ac:dyDescent="0.3">
      <c r="G302" s="1"/>
      <c r="H302" s="4"/>
      <c r="I302" s="4"/>
      <c r="J302" s="3"/>
    </row>
    <row r="303" spans="7:10" x14ac:dyDescent="0.3">
      <c r="G303" s="1"/>
      <c r="H303" s="4"/>
      <c r="I303" s="4"/>
      <c r="J303" s="3"/>
    </row>
    <row r="304" spans="7:10" x14ac:dyDescent="0.3">
      <c r="G304" s="1"/>
      <c r="H304" s="4"/>
      <c r="I304" s="4"/>
      <c r="J304" s="3"/>
    </row>
    <row r="305" spans="7:10" x14ac:dyDescent="0.3">
      <c r="G305" s="1"/>
      <c r="H305" s="4"/>
      <c r="I305" s="4"/>
      <c r="J305" s="3"/>
    </row>
    <row r="306" spans="7:10" x14ac:dyDescent="0.3">
      <c r="G306" s="1"/>
      <c r="H306" s="4"/>
      <c r="I306" s="4"/>
      <c r="J306" s="3"/>
    </row>
    <row r="307" spans="7:10" x14ac:dyDescent="0.3">
      <c r="G307" s="1"/>
      <c r="H307" s="4"/>
      <c r="I307" s="4"/>
      <c r="J307" s="3"/>
    </row>
    <row r="308" spans="7:10" x14ac:dyDescent="0.3">
      <c r="G308" s="1"/>
      <c r="H308" s="4"/>
      <c r="I308" s="4"/>
      <c r="J308" s="3"/>
    </row>
    <row r="309" spans="7:10" x14ac:dyDescent="0.3">
      <c r="G309" s="1"/>
      <c r="H309" s="4"/>
      <c r="I309" s="4"/>
      <c r="J309" s="3"/>
    </row>
    <row r="310" spans="7:10" x14ac:dyDescent="0.3">
      <c r="G310" s="1"/>
      <c r="H310" s="4"/>
      <c r="I310" s="4"/>
      <c r="J310" s="3"/>
    </row>
    <row r="311" spans="7:10" x14ac:dyDescent="0.3">
      <c r="G311" s="1"/>
      <c r="H311" s="4"/>
      <c r="I311" s="4"/>
      <c r="J311" s="3"/>
    </row>
    <row r="312" spans="7:10" x14ac:dyDescent="0.3">
      <c r="G312" s="1"/>
      <c r="H312" s="4"/>
      <c r="I312" s="4"/>
      <c r="J312" s="3"/>
    </row>
    <row r="313" spans="7:10" x14ac:dyDescent="0.3">
      <c r="G313" s="1"/>
      <c r="H313" s="4"/>
      <c r="I313" s="4"/>
      <c r="J313" s="3"/>
    </row>
    <row r="314" spans="7:10" x14ac:dyDescent="0.3">
      <c r="G314" s="1"/>
      <c r="H314" s="4"/>
      <c r="I314" s="4"/>
      <c r="J314" s="3"/>
    </row>
    <row r="315" spans="7:10" x14ac:dyDescent="0.3">
      <c r="G315" s="1"/>
      <c r="H315" s="4"/>
      <c r="I315" s="4"/>
      <c r="J315" s="3"/>
    </row>
    <row r="316" spans="7:10" x14ac:dyDescent="0.3">
      <c r="G316" s="1"/>
      <c r="H316" s="4"/>
      <c r="I316" s="4"/>
      <c r="J316" s="3"/>
    </row>
    <row r="317" spans="7:10" x14ac:dyDescent="0.3">
      <c r="G317" s="1"/>
      <c r="H317" s="4"/>
      <c r="I317" s="4"/>
      <c r="J317" s="3"/>
    </row>
    <row r="318" spans="7:10" x14ac:dyDescent="0.3">
      <c r="G318" s="1"/>
      <c r="H318" s="4"/>
      <c r="I318" s="4"/>
      <c r="J318" s="3"/>
    </row>
    <row r="319" spans="7:10" x14ac:dyDescent="0.3">
      <c r="G319" s="1"/>
      <c r="H319" s="4"/>
      <c r="I319" s="4"/>
      <c r="J319" s="3"/>
    </row>
    <row r="320" spans="7:10" x14ac:dyDescent="0.3">
      <c r="G320" s="1"/>
      <c r="H320" s="4"/>
      <c r="I320" s="4"/>
      <c r="J320" s="3"/>
    </row>
    <row r="321" spans="7:10" x14ac:dyDescent="0.3">
      <c r="G321" s="1"/>
      <c r="H321" s="4"/>
      <c r="I321" s="4"/>
      <c r="J321" s="3"/>
    </row>
    <row r="322" spans="7:10" x14ac:dyDescent="0.3">
      <c r="G322" s="1"/>
      <c r="H322" s="4"/>
      <c r="I322" s="4"/>
      <c r="J322" s="3"/>
    </row>
    <row r="323" spans="7:10" x14ac:dyDescent="0.3">
      <c r="G323" s="1"/>
      <c r="H323" s="4"/>
      <c r="I323" s="4"/>
      <c r="J323" s="3"/>
    </row>
    <row r="324" spans="7:10" x14ac:dyDescent="0.3">
      <c r="G324" s="1"/>
      <c r="H324" s="4"/>
      <c r="I324" s="4"/>
      <c r="J324" s="3"/>
    </row>
    <row r="325" spans="7:10" x14ac:dyDescent="0.3">
      <c r="G325" s="1"/>
      <c r="H325" s="4"/>
      <c r="I325" s="4"/>
      <c r="J325" s="3"/>
    </row>
    <row r="326" spans="7:10" x14ac:dyDescent="0.3">
      <c r="G326" s="1"/>
      <c r="H326" s="2"/>
      <c r="I326" s="2"/>
      <c r="J326" s="3"/>
    </row>
    <row r="327" spans="7:10" x14ac:dyDescent="0.3">
      <c r="G327" s="1"/>
      <c r="H327" s="2"/>
      <c r="I327" s="2"/>
      <c r="J327" s="3"/>
    </row>
    <row r="328" spans="7:10" x14ac:dyDescent="0.3">
      <c r="G328" s="1"/>
      <c r="H328" s="2"/>
      <c r="I328" s="2"/>
      <c r="J328" s="3"/>
    </row>
    <row r="329" spans="7:10" x14ac:dyDescent="0.3">
      <c r="G329" s="1"/>
      <c r="H329" s="2"/>
      <c r="I329" s="2"/>
      <c r="J329" s="3"/>
    </row>
    <row r="330" spans="7:10" x14ac:dyDescent="0.3">
      <c r="G330" s="1"/>
      <c r="H330" s="2"/>
      <c r="I330" s="2"/>
      <c r="J330" s="3"/>
    </row>
    <row r="331" spans="7:10" x14ac:dyDescent="0.3">
      <c r="G331" s="1"/>
      <c r="H331" s="2"/>
      <c r="I331" s="2"/>
      <c r="J331" s="3"/>
    </row>
    <row r="332" spans="7:10" x14ac:dyDescent="0.3">
      <c r="G332" s="1"/>
      <c r="H332" s="2"/>
      <c r="I332" s="2"/>
      <c r="J332" s="3"/>
    </row>
    <row r="333" spans="7:10" x14ac:dyDescent="0.3">
      <c r="G333" s="1"/>
      <c r="H333" s="2"/>
      <c r="I333" s="2"/>
      <c r="J333" s="3"/>
    </row>
    <row r="334" spans="7:10" x14ac:dyDescent="0.3">
      <c r="G334" s="1"/>
      <c r="H334" s="2"/>
      <c r="I334" s="2"/>
      <c r="J334" s="3"/>
    </row>
    <row r="335" spans="7:10" x14ac:dyDescent="0.3">
      <c r="G335" s="1"/>
      <c r="H335" s="2"/>
      <c r="I335" s="2"/>
      <c r="J335" s="3"/>
    </row>
    <row r="336" spans="7:10" x14ac:dyDescent="0.3">
      <c r="G336" s="1"/>
      <c r="H336" s="2"/>
      <c r="I336" s="2"/>
      <c r="J336" s="3"/>
    </row>
    <row r="337" spans="7:10" x14ac:dyDescent="0.3">
      <c r="G337" s="1"/>
      <c r="H337" s="2"/>
      <c r="I337" s="2"/>
      <c r="J337" s="3"/>
    </row>
    <row r="338" spans="7:10" x14ac:dyDescent="0.3">
      <c r="G338" s="1"/>
      <c r="H338" s="2"/>
      <c r="I338" s="2"/>
      <c r="J338" s="3"/>
    </row>
    <row r="339" spans="7:10" x14ac:dyDescent="0.3">
      <c r="G339" s="1"/>
      <c r="H339" s="2"/>
      <c r="I339" s="2"/>
      <c r="J339" s="3"/>
    </row>
    <row r="340" spans="7:10" x14ac:dyDescent="0.3">
      <c r="G340" s="1"/>
      <c r="H340" s="2"/>
      <c r="I340" s="2"/>
      <c r="J340" s="3"/>
    </row>
    <row r="341" spans="7:10" x14ac:dyDescent="0.3">
      <c r="G341" s="1"/>
      <c r="H341" s="2"/>
      <c r="I341" s="2"/>
      <c r="J341" s="3"/>
    </row>
    <row r="342" spans="7:10" x14ac:dyDescent="0.3">
      <c r="G342" s="1"/>
      <c r="H342" s="2"/>
      <c r="I342" s="2"/>
      <c r="J342" s="3"/>
    </row>
    <row r="343" spans="7:10" x14ac:dyDescent="0.3">
      <c r="G343" s="1"/>
      <c r="H343" s="2"/>
      <c r="I343" s="2"/>
      <c r="J343" s="3"/>
    </row>
    <row r="344" spans="7:10" x14ac:dyDescent="0.3">
      <c r="G344" s="1"/>
      <c r="H344" s="2"/>
      <c r="I344" s="2"/>
      <c r="J344" s="3"/>
    </row>
    <row r="345" spans="7:10" x14ac:dyDescent="0.3">
      <c r="G345" s="1"/>
      <c r="H345" s="2"/>
      <c r="I345" s="2"/>
      <c r="J345" s="3"/>
    </row>
    <row r="346" spans="7:10" x14ac:dyDescent="0.3">
      <c r="G346" s="1"/>
      <c r="H346" s="2"/>
      <c r="I346" s="2"/>
      <c r="J346" s="3"/>
    </row>
    <row r="347" spans="7:10" x14ac:dyDescent="0.3">
      <c r="G347" s="1"/>
      <c r="H347" s="2"/>
      <c r="I347" s="2"/>
      <c r="J347" s="3"/>
    </row>
    <row r="348" spans="7:10" x14ac:dyDescent="0.3">
      <c r="G348" s="1"/>
      <c r="H348" s="2"/>
      <c r="I348" s="2"/>
      <c r="J348" s="3"/>
    </row>
    <row r="349" spans="7:10" x14ac:dyDescent="0.3">
      <c r="G349" s="1"/>
      <c r="H349" s="2"/>
      <c r="I349" s="2"/>
      <c r="J349" s="3"/>
    </row>
    <row r="350" spans="7:10" x14ac:dyDescent="0.3">
      <c r="G350" s="1"/>
      <c r="H350" s="2"/>
      <c r="I350" s="2"/>
      <c r="J350" s="3"/>
    </row>
    <row r="351" spans="7:10" x14ac:dyDescent="0.3">
      <c r="G351" s="1"/>
      <c r="H351" s="2"/>
      <c r="I351" s="2"/>
      <c r="J351" s="3"/>
    </row>
    <row r="352" spans="7:10" x14ac:dyDescent="0.3">
      <c r="G352" s="1"/>
      <c r="H352" s="2"/>
      <c r="I352" s="2"/>
      <c r="J352" s="3"/>
    </row>
    <row r="353" spans="7:10" x14ac:dyDescent="0.3">
      <c r="G353" s="1"/>
      <c r="H353" s="2"/>
      <c r="I353" s="2"/>
      <c r="J353" s="3"/>
    </row>
    <row r="354" spans="7:10" x14ac:dyDescent="0.3">
      <c r="G354" s="1"/>
      <c r="H354" s="2"/>
      <c r="I354" s="2"/>
      <c r="J354" s="3"/>
    </row>
    <row r="355" spans="7:10" x14ac:dyDescent="0.3">
      <c r="G355" s="1"/>
      <c r="H355" s="2"/>
      <c r="I355" s="2"/>
      <c r="J355" s="3"/>
    </row>
    <row r="356" spans="7:10" x14ac:dyDescent="0.3">
      <c r="G356" s="1"/>
      <c r="H356" s="2"/>
      <c r="I356" s="2"/>
      <c r="J356" s="3"/>
    </row>
    <row r="357" spans="7:10" x14ac:dyDescent="0.3">
      <c r="G357" s="1"/>
      <c r="H357" s="2"/>
      <c r="I357" s="2"/>
      <c r="J357" s="3"/>
    </row>
    <row r="358" spans="7:10" x14ac:dyDescent="0.3">
      <c r="G358" s="1"/>
      <c r="H358" s="2"/>
      <c r="I358" s="2"/>
      <c r="J358" s="3"/>
    </row>
    <row r="359" spans="7:10" x14ac:dyDescent="0.3">
      <c r="G359" s="1"/>
      <c r="H359" s="2"/>
      <c r="I359" s="2"/>
      <c r="J359" s="3"/>
    </row>
    <row r="360" spans="7:10" x14ac:dyDescent="0.3">
      <c r="G360" s="1"/>
      <c r="H360" s="2"/>
      <c r="I360" s="2"/>
      <c r="J360" s="3"/>
    </row>
    <row r="361" spans="7:10" x14ac:dyDescent="0.3">
      <c r="G361" s="1"/>
      <c r="H361" s="2"/>
      <c r="I361" s="2"/>
      <c r="J361" s="3"/>
    </row>
    <row r="362" spans="7:10" x14ac:dyDescent="0.3">
      <c r="G362" s="1"/>
      <c r="H362" s="2"/>
      <c r="I362" s="2"/>
      <c r="J362" s="3"/>
    </row>
    <row r="363" spans="7:10" x14ac:dyDescent="0.3">
      <c r="G363" s="1"/>
      <c r="H363" s="2"/>
      <c r="I363" s="2"/>
      <c r="J363" s="3"/>
    </row>
    <row r="364" spans="7:10" x14ac:dyDescent="0.3">
      <c r="G364" s="1"/>
      <c r="H364" s="2"/>
      <c r="I364" s="2"/>
      <c r="J364" s="3"/>
    </row>
    <row r="365" spans="7:10" x14ac:dyDescent="0.3">
      <c r="G365" s="1"/>
      <c r="H365" s="2"/>
      <c r="I365" s="2"/>
      <c r="J365" s="3"/>
    </row>
    <row r="366" spans="7:10" x14ac:dyDescent="0.3">
      <c r="G366" s="1"/>
      <c r="H366" s="2"/>
      <c r="I366" s="2"/>
      <c r="J366" s="3"/>
    </row>
    <row r="367" spans="7:10" x14ac:dyDescent="0.3">
      <c r="G367" s="1"/>
      <c r="H367" s="2"/>
      <c r="I367" s="2"/>
      <c r="J367" s="3"/>
    </row>
    <row r="368" spans="7:10" x14ac:dyDescent="0.3">
      <c r="G368" s="1"/>
      <c r="H368" s="2"/>
      <c r="I368" s="2"/>
      <c r="J368" s="3"/>
    </row>
    <row r="369" spans="7:10" x14ac:dyDescent="0.3">
      <c r="G369" s="1"/>
      <c r="H369" s="2"/>
      <c r="I369" s="2"/>
      <c r="J369" s="3"/>
    </row>
    <row r="370" spans="7:10" x14ac:dyDescent="0.3">
      <c r="G370" s="1"/>
      <c r="H370" s="2"/>
      <c r="I370" s="2"/>
      <c r="J370" s="3"/>
    </row>
    <row r="371" spans="7:10" x14ac:dyDescent="0.3">
      <c r="G371" s="1"/>
      <c r="H371" s="2"/>
      <c r="I371" s="2"/>
      <c r="J371" s="3"/>
    </row>
    <row r="372" spans="7:10" x14ac:dyDescent="0.3">
      <c r="G372" s="1"/>
      <c r="H372" s="2"/>
      <c r="I372" s="2"/>
      <c r="J372" s="3"/>
    </row>
    <row r="373" spans="7:10" x14ac:dyDescent="0.3">
      <c r="G373" s="1"/>
      <c r="H373" s="2"/>
      <c r="I373" s="2"/>
      <c r="J373" s="3"/>
    </row>
    <row r="374" spans="7:10" x14ac:dyDescent="0.3">
      <c r="G374" s="1"/>
      <c r="H374" s="2"/>
      <c r="I374" s="2"/>
      <c r="J374" s="3"/>
    </row>
    <row r="375" spans="7:10" x14ac:dyDescent="0.3">
      <c r="G375" s="1"/>
      <c r="H375" s="2"/>
      <c r="I375" s="2"/>
      <c r="J375" s="3"/>
    </row>
    <row r="376" spans="7:10" x14ac:dyDescent="0.3">
      <c r="G376" s="1"/>
      <c r="H376" s="2"/>
      <c r="I376" s="2"/>
      <c r="J376" s="3"/>
    </row>
    <row r="377" spans="7:10" x14ac:dyDescent="0.3">
      <c r="G377" s="1"/>
      <c r="H377" s="2"/>
      <c r="I377" s="2"/>
      <c r="J377" s="3"/>
    </row>
    <row r="378" spans="7:10" x14ac:dyDescent="0.3">
      <c r="G378" s="1"/>
      <c r="H378" s="2"/>
      <c r="I378" s="2"/>
      <c r="J378" s="3"/>
    </row>
    <row r="379" spans="7:10" x14ac:dyDescent="0.3">
      <c r="G379" s="1"/>
      <c r="H379" s="2"/>
      <c r="I379" s="2"/>
      <c r="J379" s="3"/>
    </row>
    <row r="380" spans="7:10" x14ac:dyDescent="0.3">
      <c r="G380" s="1"/>
      <c r="H380" s="2"/>
      <c r="I380" s="2"/>
      <c r="J380" s="3"/>
    </row>
    <row r="381" spans="7:10" x14ac:dyDescent="0.3">
      <c r="G381" s="1"/>
      <c r="H381" s="2"/>
      <c r="I381" s="2"/>
      <c r="J381" s="3"/>
    </row>
    <row r="382" spans="7:10" x14ac:dyDescent="0.3">
      <c r="G382" s="1"/>
      <c r="H382" s="2"/>
      <c r="I382" s="2"/>
      <c r="J382" s="3"/>
    </row>
    <row r="383" spans="7:10" x14ac:dyDescent="0.3">
      <c r="G383" s="1"/>
      <c r="H383" s="2"/>
      <c r="I383" s="2"/>
      <c r="J383" s="3"/>
    </row>
    <row r="384" spans="7:10" x14ac:dyDescent="0.3">
      <c r="G384" s="1"/>
      <c r="H384" s="2"/>
      <c r="I384" s="2"/>
      <c r="J384" s="3"/>
    </row>
    <row r="385" spans="7:10" x14ac:dyDescent="0.3">
      <c r="G385" s="1"/>
      <c r="H385" s="2"/>
      <c r="I385" s="2"/>
      <c r="J385" s="3"/>
    </row>
    <row r="386" spans="7:10" x14ac:dyDescent="0.3">
      <c r="G386" s="1"/>
      <c r="H386" s="2"/>
      <c r="I386" s="2"/>
      <c r="J386" s="3"/>
    </row>
    <row r="387" spans="7:10" x14ac:dyDescent="0.3">
      <c r="G387" s="1"/>
      <c r="H387" s="2"/>
      <c r="I387" s="2"/>
      <c r="J387" s="3"/>
    </row>
    <row r="388" spans="7:10" x14ac:dyDescent="0.3">
      <c r="G388" s="1"/>
      <c r="H388" s="2"/>
      <c r="I388" s="2"/>
      <c r="J388" s="3"/>
    </row>
    <row r="389" spans="7:10" x14ac:dyDescent="0.3">
      <c r="G389" s="1"/>
      <c r="H389" s="2"/>
      <c r="I389" s="2"/>
      <c r="J389" s="3"/>
    </row>
    <row r="390" spans="7:10" x14ac:dyDescent="0.3">
      <c r="G390" s="1"/>
      <c r="H390" s="2"/>
      <c r="I390" s="2"/>
      <c r="J390" s="3"/>
    </row>
    <row r="391" spans="7:10" x14ac:dyDescent="0.3">
      <c r="H391" s="2"/>
      <c r="I391" s="2"/>
      <c r="J391" s="3"/>
    </row>
    <row r="392" spans="7:10" x14ac:dyDescent="0.3">
      <c r="G392" s="1"/>
      <c r="H392" s="2"/>
      <c r="I392" s="2"/>
      <c r="J392" s="3"/>
    </row>
    <row r="393" spans="7:10" x14ac:dyDescent="0.3">
      <c r="G393" s="1"/>
      <c r="H393" s="2"/>
      <c r="I393" s="2"/>
      <c r="J393" s="3"/>
    </row>
    <row r="394" spans="7:10" x14ac:dyDescent="0.3">
      <c r="G394" s="1"/>
      <c r="H394" s="2"/>
      <c r="I394" s="2"/>
      <c r="J394" s="3"/>
    </row>
    <row r="395" spans="7:10" x14ac:dyDescent="0.3">
      <c r="G395" s="1"/>
      <c r="H395" s="2"/>
      <c r="I395" s="2"/>
      <c r="J395" s="3"/>
    </row>
    <row r="396" spans="7:10" x14ac:dyDescent="0.3">
      <c r="G396" s="1"/>
      <c r="H396" s="2"/>
      <c r="I396" s="2"/>
      <c r="J396" s="3"/>
    </row>
    <row r="397" spans="7:10" x14ac:dyDescent="0.3">
      <c r="G397" s="1"/>
      <c r="H397" s="2"/>
      <c r="I397" s="2"/>
      <c r="J397" s="3"/>
    </row>
    <row r="398" spans="7:10" x14ac:dyDescent="0.3">
      <c r="G398" s="1"/>
      <c r="H398" s="2"/>
      <c r="I398" s="2"/>
      <c r="J398" s="3"/>
    </row>
    <row r="399" spans="7:10" x14ac:dyDescent="0.3">
      <c r="G399" s="1"/>
      <c r="H399" s="2"/>
      <c r="I399" s="2"/>
      <c r="J399" s="3"/>
    </row>
    <row r="400" spans="7:10" x14ac:dyDescent="0.3">
      <c r="G400" s="1"/>
      <c r="H400" s="2"/>
      <c r="I400" s="2"/>
      <c r="J400" s="3"/>
    </row>
    <row r="401" spans="7:10" x14ac:dyDescent="0.3">
      <c r="G401" s="1"/>
      <c r="H401" s="2"/>
      <c r="I401" s="2"/>
      <c r="J401" s="3"/>
    </row>
    <row r="402" spans="7:10" x14ac:dyDescent="0.3">
      <c r="H402" s="2"/>
      <c r="I402" s="2"/>
      <c r="J402" s="3"/>
    </row>
    <row r="403" spans="7:10" x14ac:dyDescent="0.3">
      <c r="G403" s="1"/>
      <c r="H403" s="2"/>
      <c r="I403" s="2"/>
      <c r="J403" s="3"/>
    </row>
    <row r="404" spans="7:10" x14ac:dyDescent="0.3">
      <c r="G404" s="1"/>
      <c r="H404" s="2"/>
      <c r="I404" s="2"/>
      <c r="J404" s="3"/>
    </row>
    <row r="405" spans="7:10" x14ac:dyDescent="0.3">
      <c r="G405" s="1"/>
      <c r="H405" s="2"/>
      <c r="I405" s="2"/>
      <c r="J405" s="3"/>
    </row>
    <row r="406" spans="7:10" x14ac:dyDescent="0.3">
      <c r="G406" s="1"/>
      <c r="H406" s="2"/>
      <c r="I406" s="2"/>
      <c r="J406" s="3"/>
    </row>
    <row r="407" spans="7:10" x14ac:dyDescent="0.3">
      <c r="G407" s="1"/>
      <c r="H407" s="2"/>
      <c r="I407" s="2"/>
      <c r="J407" s="3"/>
    </row>
    <row r="408" spans="7:10" x14ac:dyDescent="0.3">
      <c r="G408" s="1"/>
      <c r="H408" s="2"/>
      <c r="I408" s="2"/>
      <c r="J408" s="3"/>
    </row>
    <row r="409" spans="7:10" x14ac:dyDescent="0.3">
      <c r="G409" s="1"/>
      <c r="H409" s="2"/>
      <c r="I409" s="2"/>
      <c r="J409" s="3"/>
    </row>
    <row r="410" spans="7:10" x14ac:dyDescent="0.3">
      <c r="G410" s="1"/>
      <c r="H410" s="2"/>
      <c r="I410" s="2"/>
      <c r="J410" s="3"/>
    </row>
    <row r="411" spans="7:10" x14ac:dyDescent="0.3">
      <c r="G411" s="1"/>
      <c r="H411" s="2"/>
      <c r="I411" s="2"/>
      <c r="J411" s="3"/>
    </row>
    <row r="412" spans="7:10" x14ac:dyDescent="0.3">
      <c r="G412" s="1"/>
      <c r="H412" s="2"/>
      <c r="I412" s="2"/>
      <c r="J412" s="3"/>
    </row>
    <row r="413" spans="7:10" x14ac:dyDescent="0.3">
      <c r="G413" s="1"/>
      <c r="H413" s="2"/>
      <c r="I413" s="2"/>
      <c r="J413" s="3"/>
    </row>
    <row r="414" spans="7:10" x14ac:dyDescent="0.3">
      <c r="G414" s="1"/>
      <c r="H414" s="2"/>
      <c r="I414" s="2"/>
      <c r="J414" s="3"/>
    </row>
    <row r="415" spans="7:10" x14ac:dyDescent="0.3">
      <c r="G415" s="1"/>
      <c r="H415" s="2"/>
      <c r="I415" s="2"/>
      <c r="J415" s="3"/>
    </row>
    <row r="416" spans="7:10" x14ac:dyDescent="0.3">
      <c r="G416" s="1"/>
      <c r="H416" s="2"/>
      <c r="I416" s="2"/>
      <c r="J416" s="3"/>
    </row>
    <row r="417" spans="7:10" x14ac:dyDescent="0.3">
      <c r="G417" s="1"/>
      <c r="H417" s="2"/>
      <c r="I417" s="2"/>
      <c r="J417" s="3"/>
    </row>
    <row r="418" spans="7:10" x14ac:dyDescent="0.3">
      <c r="G418" s="1"/>
      <c r="H418" s="2"/>
      <c r="I418" s="2"/>
      <c r="J418" s="3"/>
    </row>
    <row r="419" spans="7:10" x14ac:dyDescent="0.3">
      <c r="G419" s="1"/>
      <c r="H419" s="2"/>
      <c r="I419" s="2"/>
      <c r="J419" s="3"/>
    </row>
    <row r="420" spans="7:10" x14ac:dyDescent="0.3">
      <c r="G420" s="1"/>
      <c r="H420" s="2"/>
      <c r="I420" s="2"/>
      <c r="J420" s="3"/>
    </row>
    <row r="421" spans="7:10" x14ac:dyDescent="0.3">
      <c r="G421" s="1"/>
      <c r="H421" s="2"/>
      <c r="I421" s="2"/>
      <c r="J421" s="3"/>
    </row>
    <row r="422" spans="7:10" x14ac:dyDescent="0.3">
      <c r="G422" s="1"/>
      <c r="H422" s="2"/>
      <c r="I422" s="2"/>
      <c r="J422" s="3"/>
    </row>
    <row r="423" spans="7:10" x14ac:dyDescent="0.3">
      <c r="G423" s="1"/>
      <c r="H423" s="2"/>
      <c r="I423" s="2"/>
      <c r="J423" s="3"/>
    </row>
    <row r="424" spans="7:10" x14ac:dyDescent="0.3">
      <c r="G424" s="1"/>
      <c r="H424" s="2"/>
      <c r="I424" s="2"/>
      <c r="J424" s="3"/>
    </row>
    <row r="425" spans="7:10" x14ac:dyDescent="0.3">
      <c r="G425" s="1"/>
      <c r="H425" s="2"/>
      <c r="I425" s="2"/>
      <c r="J425" s="3"/>
    </row>
    <row r="426" spans="7:10" x14ac:dyDescent="0.3">
      <c r="G426" s="1"/>
      <c r="H426" s="2"/>
      <c r="I426" s="2"/>
      <c r="J426" s="3"/>
    </row>
    <row r="427" spans="7:10" x14ac:dyDescent="0.3">
      <c r="G427" s="1"/>
      <c r="H427" s="2"/>
      <c r="I427" s="2"/>
      <c r="J427" s="3"/>
    </row>
    <row r="428" spans="7:10" x14ac:dyDescent="0.3">
      <c r="G428" s="1"/>
      <c r="H428" s="2"/>
      <c r="I428" s="2"/>
      <c r="J428" s="3"/>
    </row>
    <row r="429" spans="7:10" x14ac:dyDescent="0.3">
      <c r="G429" s="1"/>
      <c r="H429" s="2"/>
      <c r="I429" s="2"/>
      <c r="J429" s="3"/>
    </row>
    <row r="430" spans="7:10" x14ac:dyDescent="0.3">
      <c r="G430" s="1"/>
      <c r="H430" s="2"/>
      <c r="I430" s="2"/>
      <c r="J430" s="3"/>
    </row>
    <row r="431" spans="7:10" x14ac:dyDescent="0.3">
      <c r="G431" s="1"/>
      <c r="H431" s="2"/>
      <c r="I431" s="2"/>
      <c r="J431" s="3"/>
    </row>
    <row r="432" spans="7:10" x14ac:dyDescent="0.3">
      <c r="G432" s="1"/>
      <c r="H432" s="2"/>
      <c r="I432" s="2"/>
      <c r="J432" s="3"/>
    </row>
    <row r="433" spans="7:10" x14ac:dyDescent="0.3">
      <c r="G433" s="1"/>
      <c r="H433" s="2"/>
      <c r="I433" s="2"/>
      <c r="J433" s="3"/>
    </row>
    <row r="434" spans="7:10" x14ac:dyDescent="0.3">
      <c r="G434" s="1"/>
      <c r="H434" s="2"/>
      <c r="I434" s="2"/>
      <c r="J434" s="3"/>
    </row>
    <row r="435" spans="7:10" x14ac:dyDescent="0.3">
      <c r="G435" s="1"/>
      <c r="H435" s="2"/>
      <c r="I435" s="2"/>
      <c r="J435" s="3"/>
    </row>
    <row r="436" spans="7:10" x14ac:dyDescent="0.3">
      <c r="G436" s="1"/>
      <c r="H436" s="2"/>
      <c r="I436" s="2"/>
      <c r="J436" s="3"/>
    </row>
    <row r="437" spans="7:10" x14ac:dyDescent="0.3">
      <c r="G437" s="1"/>
      <c r="H437" s="2"/>
      <c r="I437" s="2"/>
      <c r="J437" s="3"/>
    </row>
    <row r="438" spans="7:10" x14ac:dyDescent="0.3">
      <c r="G438" s="1"/>
      <c r="H438" s="2"/>
      <c r="I438" s="2"/>
      <c r="J438" s="3"/>
    </row>
    <row r="439" spans="7:10" x14ac:dyDescent="0.3">
      <c r="G439" s="1"/>
      <c r="H439" s="2"/>
      <c r="I439" s="2"/>
      <c r="J439" s="3"/>
    </row>
    <row r="440" spans="7:10" x14ac:dyDescent="0.3">
      <c r="G440" s="1"/>
      <c r="H440" s="2"/>
      <c r="I440" s="2"/>
      <c r="J440" s="3"/>
    </row>
    <row r="441" spans="7:10" x14ac:dyDescent="0.3">
      <c r="G441" s="1"/>
      <c r="H441" s="2"/>
      <c r="I441" s="2"/>
      <c r="J441" s="3"/>
    </row>
    <row r="442" spans="7:10" x14ac:dyDescent="0.3">
      <c r="G442" s="1"/>
      <c r="H442" s="2"/>
      <c r="I442" s="2"/>
      <c r="J442" s="3"/>
    </row>
    <row r="443" spans="7:10" x14ac:dyDescent="0.3">
      <c r="G443" s="1"/>
      <c r="H443" s="2"/>
      <c r="I443" s="2"/>
      <c r="J443" s="3"/>
    </row>
    <row r="444" spans="7:10" x14ac:dyDescent="0.3">
      <c r="G444" s="1"/>
      <c r="H444" s="2"/>
      <c r="I444" s="2"/>
      <c r="J444" s="3"/>
    </row>
    <row r="445" spans="7:10" x14ac:dyDescent="0.3">
      <c r="G445" s="1"/>
      <c r="H445" s="2"/>
      <c r="I445" s="2"/>
      <c r="J445" s="3"/>
    </row>
    <row r="446" spans="7:10" x14ac:dyDescent="0.3">
      <c r="G446" s="1"/>
      <c r="H446" s="2"/>
      <c r="I446" s="2"/>
      <c r="J446" s="3"/>
    </row>
    <row r="447" spans="7:10" x14ac:dyDescent="0.3">
      <c r="G447" s="1"/>
      <c r="H447" s="2"/>
      <c r="I447" s="2"/>
      <c r="J447" s="3"/>
    </row>
    <row r="448" spans="7:10" x14ac:dyDescent="0.3">
      <c r="G448" s="1"/>
      <c r="H448" s="2"/>
      <c r="I448" s="2"/>
      <c r="J448" s="3"/>
    </row>
    <row r="449" spans="7:10" x14ac:dyDescent="0.3">
      <c r="G449" s="1"/>
      <c r="H449" s="2"/>
      <c r="I449" s="2"/>
      <c r="J449" s="3"/>
    </row>
    <row r="450" spans="7:10" x14ac:dyDescent="0.3">
      <c r="G450" s="1"/>
      <c r="H450" s="2"/>
      <c r="I450" s="2"/>
      <c r="J450" s="3"/>
    </row>
    <row r="451" spans="7:10" x14ac:dyDescent="0.3">
      <c r="G451" s="1"/>
      <c r="H451" s="2"/>
      <c r="I451" s="2"/>
      <c r="J451" s="3"/>
    </row>
    <row r="452" spans="7:10" x14ac:dyDescent="0.3">
      <c r="G452" s="1"/>
      <c r="H452" s="2"/>
      <c r="I452" s="2"/>
      <c r="J452" s="3"/>
    </row>
    <row r="453" spans="7:10" x14ac:dyDescent="0.3">
      <c r="G453" s="1"/>
      <c r="H453" s="2"/>
      <c r="I453" s="2"/>
      <c r="J453" s="3"/>
    </row>
    <row r="454" spans="7:10" x14ac:dyDescent="0.3">
      <c r="G454" s="1"/>
      <c r="H454" s="2"/>
      <c r="I454" s="2"/>
      <c r="J454" s="3"/>
    </row>
    <row r="455" spans="7:10" x14ac:dyDescent="0.3">
      <c r="G455" s="1"/>
      <c r="H455" s="2"/>
      <c r="I455" s="2"/>
      <c r="J455" s="3"/>
    </row>
    <row r="456" spans="7:10" x14ac:dyDescent="0.3">
      <c r="G456" s="1"/>
      <c r="H456" s="2"/>
      <c r="I456" s="2"/>
      <c r="J456" s="3"/>
    </row>
    <row r="457" spans="7:10" x14ac:dyDescent="0.3">
      <c r="G457" s="1"/>
      <c r="H457" s="2"/>
      <c r="I457" s="2"/>
      <c r="J457" s="3"/>
    </row>
    <row r="458" spans="7:10" x14ac:dyDescent="0.3">
      <c r="G458" s="1"/>
      <c r="H458" s="2"/>
      <c r="I458" s="2"/>
      <c r="J458" s="3"/>
    </row>
    <row r="459" spans="7:10" x14ac:dyDescent="0.3">
      <c r="G459" s="1"/>
      <c r="H459" s="2"/>
      <c r="I459" s="2"/>
      <c r="J459" s="3"/>
    </row>
    <row r="460" spans="7:10" x14ac:dyDescent="0.3">
      <c r="G460" s="1"/>
      <c r="H460" s="2"/>
      <c r="I460" s="2"/>
      <c r="J460" s="3"/>
    </row>
    <row r="461" spans="7:10" x14ac:dyDescent="0.3">
      <c r="G461" s="1"/>
      <c r="H461" s="2"/>
      <c r="I461" s="2"/>
      <c r="J461" s="3"/>
    </row>
    <row r="462" spans="7:10" x14ac:dyDescent="0.3">
      <c r="G462" s="1"/>
      <c r="H462" s="2"/>
      <c r="I462" s="2"/>
      <c r="J462" s="3"/>
    </row>
    <row r="463" spans="7:10" x14ac:dyDescent="0.3">
      <c r="G463" s="1"/>
      <c r="H463" s="2"/>
      <c r="I463" s="2"/>
      <c r="J463" s="3"/>
    </row>
    <row r="464" spans="7:10" x14ac:dyDescent="0.3">
      <c r="G464" s="1"/>
      <c r="H464" s="2"/>
      <c r="I464" s="2"/>
      <c r="J464" s="3"/>
    </row>
    <row r="465" spans="7:10" x14ac:dyDescent="0.3">
      <c r="G465" s="1"/>
      <c r="H465" s="2"/>
      <c r="I465" s="2"/>
      <c r="J465" s="3"/>
    </row>
    <row r="466" spans="7:10" x14ac:dyDescent="0.3">
      <c r="G466" s="1"/>
      <c r="H466" s="2"/>
      <c r="I466" s="2"/>
      <c r="J466" s="3"/>
    </row>
    <row r="467" spans="7:10" x14ac:dyDescent="0.3">
      <c r="G467" s="1"/>
      <c r="H467" s="2"/>
      <c r="I467" s="2"/>
      <c r="J467" s="3"/>
    </row>
    <row r="468" spans="7:10" x14ac:dyDescent="0.3">
      <c r="G468" s="1"/>
      <c r="H468" s="2"/>
      <c r="I468" s="2"/>
      <c r="J468" s="3"/>
    </row>
    <row r="469" spans="7:10" x14ac:dyDescent="0.3">
      <c r="G469" s="1"/>
      <c r="H469" s="2"/>
      <c r="I469" s="2"/>
      <c r="J469" s="3"/>
    </row>
    <row r="470" spans="7:10" x14ac:dyDescent="0.3">
      <c r="G470" s="1"/>
      <c r="H470" s="2"/>
      <c r="I470" s="2"/>
      <c r="J470" s="3"/>
    </row>
    <row r="471" spans="7:10" x14ac:dyDescent="0.3">
      <c r="G471" s="1"/>
      <c r="H471" s="2"/>
      <c r="I471" s="2"/>
      <c r="J471" s="3"/>
    </row>
    <row r="472" spans="7:10" x14ac:dyDescent="0.3">
      <c r="G472" s="1"/>
      <c r="H472" s="2"/>
      <c r="I472" s="2"/>
      <c r="J472" s="3"/>
    </row>
    <row r="473" spans="7:10" x14ac:dyDescent="0.3">
      <c r="G473" s="1"/>
      <c r="H473" s="2"/>
      <c r="I473" s="2"/>
      <c r="J473" s="3"/>
    </row>
    <row r="474" spans="7:10" x14ac:dyDescent="0.3">
      <c r="G474" s="1"/>
      <c r="H474" s="2"/>
      <c r="I474" s="2"/>
      <c r="J474" s="3"/>
    </row>
    <row r="475" spans="7:10" x14ac:dyDescent="0.3">
      <c r="G475" s="1"/>
      <c r="H475" s="2"/>
      <c r="I475" s="2"/>
      <c r="J475" s="3"/>
    </row>
    <row r="476" spans="7:10" x14ac:dyDescent="0.3">
      <c r="G476" s="1"/>
      <c r="H476" s="2"/>
      <c r="I476" s="2"/>
      <c r="J476" s="3"/>
    </row>
    <row r="477" spans="7:10" x14ac:dyDescent="0.3">
      <c r="G477" s="1"/>
      <c r="H477" s="2"/>
      <c r="I477" s="2"/>
      <c r="J477" s="3"/>
    </row>
    <row r="478" spans="7:10" x14ac:dyDescent="0.3">
      <c r="G478" s="1"/>
      <c r="H478" s="2"/>
      <c r="I478" s="2"/>
      <c r="J478" s="3"/>
    </row>
    <row r="479" spans="7:10" x14ac:dyDescent="0.3">
      <c r="G479" s="1"/>
      <c r="H479" s="2"/>
      <c r="I479" s="2"/>
      <c r="J479" s="3"/>
    </row>
    <row r="480" spans="7:10" x14ac:dyDescent="0.3">
      <c r="G480" s="1"/>
      <c r="H480" s="2"/>
      <c r="I480" s="2"/>
      <c r="J480" s="3"/>
    </row>
    <row r="481" spans="7:10" x14ac:dyDescent="0.3">
      <c r="G481" s="1"/>
      <c r="H481" s="2"/>
      <c r="I481" s="2"/>
      <c r="J481" s="3"/>
    </row>
    <row r="482" spans="7:10" x14ac:dyDescent="0.3">
      <c r="G482" s="1"/>
      <c r="H482" s="2"/>
      <c r="I482" s="2"/>
      <c r="J482" s="3"/>
    </row>
    <row r="483" spans="7:10" x14ac:dyDescent="0.3">
      <c r="G483" s="1"/>
      <c r="H483" s="2"/>
      <c r="I483" s="2"/>
      <c r="J483" s="3"/>
    </row>
    <row r="484" spans="7:10" x14ac:dyDescent="0.3">
      <c r="G484" s="1"/>
      <c r="H484" s="2"/>
      <c r="I484" s="2"/>
      <c r="J484" s="3"/>
    </row>
    <row r="485" spans="7:10" x14ac:dyDescent="0.3">
      <c r="G485" s="1"/>
      <c r="H485" s="2"/>
      <c r="I485" s="2"/>
      <c r="J485" s="3"/>
    </row>
    <row r="486" spans="7:10" x14ac:dyDescent="0.3">
      <c r="G486" s="1"/>
      <c r="H486" s="2"/>
      <c r="I486" s="2"/>
      <c r="J486" s="3"/>
    </row>
    <row r="487" spans="7:10" x14ac:dyDescent="0.3">
      <c r="G487" s="1"/>
      <c r="H487" s="2"/>
      <c r="I487" s="2"/>
      <c r="J487" s="3"/>
    </row>
    <row r="488" spans="7:10" x14ac:dyDescent="0.3">
      <c r="G488" s="1"/>
      <c r="H488" s="2"/>
      <c r="I488" s="2"/>
      <c r="J488" s="3"/>
    </row>
    <row r="489" spans="7:10" x14ac:dyDescent="0.3">
      <c r="G489" s="1"/>
      <c r="H489" s="2"/>
      <c r="I489" s="2"/>
      <c r="J489" s="3"/>
    </row>
    <row r="490" spans="7:10" x14ac:dyDescent="0.3">
      <c r="G490" s="1"/>
      <c r="H490" s="2"/>
      <c r="I490" s="2"/>
      <c r="J490" s="3"/>
    </row>
    <row r="491" spans="7:10" x14ac:dyDescent="0.3">
      <c r="G491" s="1"/>
      <c r="H491" s="2"/>
      <c r="I491" s="2"/>
      <c r="J491" s="3"/>
    </row>
    <row r="492" spans="7:10" x14ac:dyDescent="0.3">
      <c r="G492" s="1"/>
      <c r="H492" s="2"/>
      <c r="I492" s="2"/>
      <c r="J492" s="3"/>
    </row>
    <row r="493" spans="7:10" x14ac:dyDescent="0.3">
      <c r="G493" s="1"/>
      <c r="H493" s="2"/>
      <c r="I493" s="2"/>
      <c r="J493" s="3"/>
    </row>
    <row r="494" spans="7:10" x14ac:dyDescent="0.3">
      <c r="G494" s="1"/>
      <c r="H494" s="2"/>
      <c r="I494" s="2"/>
      <c r="J494" s="3"/>
    </row>
    <row r="495" spans="7:10" x14ac:dyDescent="0.3">
      <c r="G495" s="1"/>
      <c r="H495" s="2"/>
      <c r="I495" s="2"/>
      <c r="J495" s="3"/>
    </row>
    <row r="496" spans="7:10" x14ac:dyDescent="0.3">
      <c r="G496" s="1"/>
      <c r="H496" s="2"/>
      <c r="I496" s="2"/>
      <c r="J496" s="3"/>
    </row>
    <row r="497" spans="7:10" x14ac:dyDescent="0.3">
      <c r="G497" s="1"/>
      <c r="H497" s="2"/>
      <c r="I497" s="2"/>
      <c r="J497" s="3"/>
    </row>
    <row r="498" spans="7:10" x14ac:dyDescent="0.3">
      <c r="G498" s="1"/>
      <c r="H498" s="2"/>
      <c r="I498" s="2"/>
      <c r="J498" s="3"/>
    </row>
    <row r="499" spans="7:10" x14ac:dyDescent="0.3">
      <c r="G499" s="1"/>
      <c r="H499" s="2"/>
      <c r="I499" s="2"/>
      <c r="J499" s="3"/>
    </row>
    <row r="500" spans="7:10" x14ac:dyDescent="0.3">
      <c r="G500" s="1"/>
      <c r="H500" s="2"/>
      <c r="I500" s="2"/>
      <c r="J500" s="3"/>
    </row>
    <row r="501" spans="7:10" x14ac:dyDescent="0.3">
      <c r="G501" s="1"/>
      <c r="H501" s="2"/>
      <c r="I501" s="2"/>
      <c r="J501" s="3"/>
    </row>
    <row r="502" spans="7:10" x14ac:dyDescent="0.3">
      <c r="G502" s="1"/>
      <c r="H502" s="2"/>
      <c r="I502" s="2"/>
      <c r="J502" s="3"/>
    </row>
    <row r="503" spans="7:10" x14ac:dyDescent="0.3">
      <c r="G503" s="1"/>
      <c r="H503" s="2"/>
      <c r="I503" s="2"/>
      <c r="J503" s="3"/>
    </row>
    <row r="504" spans="7:10" x14ac:dyDescent="0.3">
      <c r="G504" s="1"/>
      <c r="H504" s="2"/>
      <c r="I504" s="2"/>
      <c r="J504" s="3"/>
    </row>
    <row r="505" spans="7:10" x14ac:dyDescent="0.3">
      <c r="G505" s="1"/>
      <c r="H505" s="2"/>
      <c r="I505" s="2"/>
      <c r="J505" s="3"/>
    </row>
    <row r="506" spans="7:10" x14ac:dyDescent="0.3">
      <c r="G506" s="1"/>
      <c r="H506" s="2"/>
      <c r="I506" s="2"/>
      <c r="J506" s="3"/>
    </row>
    <row r="507" spans="7:10" x14ac:dyDescent="0.3">
      <c r="G507" s="1"/>
      <c r="H507" s="2"/>
      <c r="I507" s="2"/>
      <c r="J507" s="3"/>
    </row>
    <row r="508" spans="7:10" x14ac:dyDescent="0.3">
      <c r="G508" s="1"/>
      <c r="H508" s="2"/>
      <c r="I508" s="2"/>
      <c r="J508" s="3"/>
    </row>
    <row r="509" spans="7:10" x14ac:dyDescent="0.3">
      <c r="G509" s="1"/>
      <c r="H509" s="2"/>
      <c r="I509" s="2"/>
      <c r="J509" s="3"/>
    </row>
    <row r="510" spans="7:10" x14ac:dyDescent="0.3">
      <c r="G510" s="1"/>
      <c r="H510" s="2"/>
      <c r="I510" s="2"/>
      <c r="J510" s="3"/>
    </row>
    <row r="511" spans="7:10" x14ac:dyDescent="0.3">
      <c r="G511" s="1"/>
      <c r="H511" s="2"/>
      <c r="I511" s="2"/>
      <c r="J511" s="3"/>
    </row>
    <row r="512" spans="7:10" x14ac:dyDescent="0.3">
      <c r="G512" s="1"/>
      <c r="H512" s="2"/>
      <c r="I512" s="2"/>
      <c r="J512" s="3"/>
    </row>
    <row r="513" spans="7:10" x14ac:dyDescent="0.3">
      <c r="G513" s="1"/>
      <c r="H513" s="2"/>
      <c r="I513" s="2"/>
      <c r="J513" s="3"/>
    </row>
    <row r="514" spans="7:10" x14ac:dyDescent="0.3">
      <c r="G514" s="1"/>
      <c r="H514" s="2"/>
      <c r="I514" s="2"/>
      <c r="J514" s="3"/>
    </row>
    <row r="515" spans="7:10" x14ac:dyDescent="0.3">
      <c r="G515" s="1"/>
      <c r="H515" s="2"/>
      <c r="I515" s="2"/>
      <c r="J515" s="3"/>
    </row>
    <row r="516" spans="7:10" x14ac:dyDescent="0.3">
      <c r="G516" s="1"/>
      <c r="H516" s="2"/>
      <c r="I516" s="2"/>
      <c r="J516" s="3"/>
    </row>
    <row r="517" spans="7:10" x14ac:dyDescent="0.3">
      <c r="G517" s="1"/>
      <c r="H517" s="2"/>
      <c r="I517" s="2"/>
      <c r="J517" s="3"/>
    </row>
    <row r="518" spans="7:10" x14ac:dyDescent="0.3">
      <c r="G518" s="1"/>
      <c r="H518" s="2"/>
      <c r="I518" s="2"/>
      <c r="J518" s="3"/>
    </row>
    <row r="519" spans="7:10" x14ac:dyDescent="0.3">
      <c r="G519" s="1"/>
      <c r="H519" s="2"/>
      <c r="I519" s="2"/>
      <c r="J519" s="3"/>
    </row>
    <row r="520" spans="7:10" x14ac:dyDescent="0.3">
      <c r="G520" s="1"/>
      <c r="H520" s="2"/>
      <c r="I520" s="2"/>
      <c r="J520" s="3"/>
    </row>
    <row r="521" spans="7:10" x14ac:dyDescent="0.3">
      <c r="G521" s="1"/>
      <c r="H521" s="2"/>
      <c r="I521" s="2"/>
      <c r="J521" s="3"/>
    </row>
    <row r="522" spans="7:10" x14ac:dyDescent="0.3">
      <c r="G522" s="1"/>
      <c r="H522" s="2"/>
      <c r="I522" s="2"/>
      <c r="J522" s="3"/>
    </row>
    <row r="523" spans="7:10" x14ac:dyDescent="0.3">
      <c r="G523" s="1"/>
      <c r="H523" s="2"/>
      <c r="I523" s="2"/>
      <c r="J523" s="3"/>
    </row>
    <row r="524" spans="7:10" x14ac:dyDescent="0.3">
      <c r="G524" s="1"/>
      <c r="H524" s="2"/>
      <c r="I524" s="2"/>
      <c r="J524" s="3"/>
    </row>
    <row r="525" spans="7:10" x14ac:dyDescent="0.3">
      <c r="G525" s="1"/>
      <c r="H525" s="2"/>
      <c r="I525" s="2"/>
      <c r="J525" s="3"/>
    </row>
    <row r="526" spans="7:10" x14ac:dyDescent="0.3">
      <c r="G526" s="1"/>
      <c r="H526" s="2"/>
      <c r="I526" s="2"/>
      <c r="J526" s="3"/>
    </row>
    <row r="527" spans="7:10" x14ac:dyDescent="0.3">
      <c r="G527" s="1"/>
      <c r="H527" s="2"/>
      <c r="I527" s="2"/>
      <c r="J527" s="3"/>
    </row>
    <row r="528" spans="7:10" x14ac:dyDescent="0.3">
      <c r="G528" s="1"/>
      <c r="H528" s="2"/>
      <c r="I528" s="2"/>
      <c r="J528" s="3"/>
    </row>
    <row r="529" spans="7:10" x14ac:dyDescent="0.3">
      <c r="G529" s="1"/>
      <c r="H529" s="2"/>
      <c r="I529" s="2"/>
      <c r="J529" s="3"/>
    </row>
    <row r="530" spans="7:10" x14ac:dyDescent="0.3">
      <c r="G530" s="1"/>
      <c r="H530" s="2"/>
      <c r="I530" s="2"/>
      <c r="J530" s="3"/>
    </row>
    <row r="531" spans="7:10" x14ac:dyDescent="0.3">
      <c r="G531" s="1"/>
      <c r="H531" s="2"/>
      <c r="I531" s="2"/>
      <c r="J531" s="3"/>
    </row>
    <row r="532" spans="7:10" x14ac:dyDescent="0.3">
      <c r="G532" s="1"/>
      <c r="H532" s="2"/>
      <c r="I532" s="2"/>
      <c r="J532" s="3"/>
    </row>
    <row r="533" spans="7:10" x14ac:dyDescent="0.3">
      <c r="G533" s="1"/>
      <c r="H533" s="2"/>
      <c r="I533" s="2"/>
      <c r="J533" s="3"/>
    </row>
    <row r="534" spans="7:10" x14ac:dyDescent="0.3">
      <c r="G534" s="1"/>
      <c r="H534" s="2"/>
      <c r="I534" s="2"/>
      <c r="J534" s="3"/>
    </row>
    <row r="535" spans="7:10" x14ac:dyDescent="0.3">
      <c r="G535" s="1"/>
      <c r="H535" s="2"/>
      <c r="I535" s="2"/>
      <c r="J535" s="3"/>
    </row>
    <row r="536" spans="7:10" x14ac:dyDescent="0.3">
      <c r="G536" s="1"/>
      <c r="H536" s="2"/>
      <c r="I536" s="2"/>
      <c r="J536" s="3"/>
    </row>
    <row r="537" spans="7:10" x14ac:dyDescent="0.3">
      <c r="G537" s="1"/>
      <c r="H537" s="2"/>
      <c r="I537" s="2"/>
      <c r="J537" s="3"/>
    </row>
    <row r="538" spans="7:10" x14ac:dyDescent="0.3">
      <c r="G538" s="1"/>
      <c r="H538" s="2"/>
      <c r="I538" s="2"/>
      <c r="J538" s="3"/>
    </row>
    <row r="539" spans="7:10" x14ac:dyDescent="0.3">
      <c r="G539" s="1"/>
      <c r="H539" s="2"/>
      <c r="I539" s="2"/>
      <c r="J539" s="3"/>
    </row>
    <row r="540" spans="7:10" x14ac:dyDescent="0.3">
      <c r="G540" s="1"/>
      <c r="H540" s="2"/>
      <c r="I540" s="2"/>
      <c r="J540" s="3"/>
    </row>
    <row r="541" spans="7:10" x14ac:dyDescent="0.3">
      <c r="G541" s="1"/>
      <c r="H541" s="2"/>
      <c r="I541" s="2"/>
      <c r="J541" s="3"/>
    </row>
    <row r="542" spans="7:10" x14ac:dyDescent="0.3">
      <c r="G542" s="1"/>
      <c r="H542" s="2"/>
      <c r="I542" s="2"/>
      <c r="J542" s="3"/>
    </row>
    <row r="543" spans="7:10" x14ac:dyDescent="0.3">
      <c r="G543" s="1"/>
      <c r="H543" s="2"/>
      <c r="I543" s="2"/>
      <c r="J543" s="3"/>
    </row>
    <row r="544" spans="7:10" x14ac:dyDescent="0.3">
      <c r="G544" s="1"/>
      <c r="H544" s="2"/>
      <c r="I544" s="2"/>
      <c r="J544" s="3"/>
    </row>
    <row r="545" spans="7:10" x14ac:dyDescent="0.3">
      <c r="G545" s="1"/>
      <c r="H545" s="2"/>
      <c r="I545" s="2"/>
      <c r="J545" s="3"/>
    </row>
    <row r="546" spans="7:10" x14ac:dyDescent="0.3">
      <c r="G546" s="1"/>
      <c r="H546" s="2"/>
      <c r="I546" s="2"/>
      <c r="J546" s="3"/>
    </row>
    <row r="547" spans="7:10" x14ac:dyDescent="0.3">
      <c r="G547" s="1"/>
      <c r="H547" s="2"/>
      <c r="I547" s="2"/>
      <c r="J547" s="3"/>
    </row>
    <row r="548" spans="7:10" x14ac:dyDescent="0.3">
      <c r="G548" s="1"/>
      <c r="H548" s="2"/>
      <c r="I548" s="2"/>
      <c r="J548" s="3"/>
    </row>
    <row r="549" spans="7:10" x14ac:dyDescent="0.3">
      <c r="G549" s="1"/>
      <c r="H549" s="2"/>
      <c r="I549" s="2"/>
      <c r="J549" s="3"/>
    </row>
    <row r="550" spans="7:10" x14ac:dyDescent="0.3">
      <c r="G550" s="1"/>
      <c r="H550" s="2"/>
      <c r="I550" s="2"/>
      <c r="J550" s="3"/>
    </row>
    <row r="551" spans="7:10" x14ac:dyDescent="0.3">
      <c r="G551" s="1"/>
      <c r="H551" s="2"/>
      <c r="I551" s="2"/>
      <c r="J551" s="3"/>
    </row>
    <row r="552" spans="7:10" x14ac:dyDescent="0.3">
      <c r="G552" s="1"/>
      <c r="H552" s="2"/>
      <c r="I552" s="2"/>
      <c r="J552" s="3"/>
    </row>
    <row r="553" spans="7:10" x14ac:dyDescent="0.3">
      <c r="G553" s="1"/>
      <c r="H553" s="2"/>
      <c r="I553" s="2"/>
      <c r="J553" s="3"/>
    </row>
    <row r="554" spans="7:10" x14ac:dyDescent="0.3">
      <c r="G554" s="1"/>
      <c r="H554" s="2"/>
      <c r="I554" s="2"/>
      <c r="J554" s="3"/>
    </row>
    <row r="555" spans="7:10" x14ac:dyDescent="0.3">
      <c r="G555" s="1"/>
      <c r="H555" s="2"/>
      <c r="I555" s="2"/>
      <c r="J555" s="3"/>
    </row>
    <row r="556" spans="7:10" x14ac:dyDescent="0.3">
      <c r="H556" s="2"/>
      <c r="I556" s="2"/>
      <c r="J556" s="3"/>
    </row>
    <row r="557" spans="7:10" x14ac:dyDescent="0.3">
      <c r="H557" s="2"/>
      <c r="I557" s="2"/>
      <c r="J557" s="3"/>
    </row>
    <row r="558" spans="7:10" x14ac:dyDescent="0.3">
      <c r="G558" s="1"/>
      <c r="H558" s="2"/>
      <c r="I558" s="2"/>
      <c r="J558" s="3"/>
    </row>
    <row r="559" spans="7:10" x14ac:dyDescent="0.3">
      <c r="G559" s="1"/>
      <c r="H559" s="2"/>
      <c r="I559" s="2"/>
      <c r="J559" s="3"/>
    </row>
    <row r="560" spans="7:10" x14ac:dyDescent="0.3">
      <c r="G560" s="1"/>
      <c r="H560" s="2"/>
      <c r="I560" s="2"/>
      <c r="J560" s="3"/>
    </row>
    <row r="561" spans="7:10" x14ac:dyDescent="0.3">
      <c r="G561" s="1"/>
      <c r="H561" s="2"/>
      <c r="I561" s="2"/>
      <c r="J561" s="3"/>
    </row>
    <row r="562" spans="7:10" x14ac:dyDescent="0.3">
      <c r="G562" s="1"/>
      <c r="H562" s="2"/>
      <c r="I562" s="2"/>
      <c r="J562" s="3"/>
    </row>
    <row r="563" spans="7:10" x14ac:dyDescent="0.3">
      <c r="G563" s="1"/>
      <c r="H563" s="2"/>
      <c r="I563" s="2"/>
      <c r="J563" s="3"/>
    </row>
    <row r="564" spans="7:10" x14ac:dyDescent="0.3">
      <c r="G564" s="1"/>
      <c r="H564" s="2"/>
      <c r="I564" s="2"/>
      <c r="J564" s="3"/>
    </row>
    <row r="565" spans="7:10" x14ac:dyDescent="0.3">
      <c r="G565" s="1"/>
      <c r="H565" s="2"/>
      <c r="I565" s="2"/>
      <c r="J565" s="3"/>
    </row>
    <row r="566" spans="7:10" x14ac:dyDescent="0.3">
      <c r="G566" s="1"/>
      <c r="H566" s="2"/>
      <c r="I566" s="2"/>
      <c r="J566" s="3"/>
    </row>
    <row r="567" spans="7:10" x14ac:dyDescent="0.3">
      <c r="G567" s="1"/>
      <c r="H567" s="2"/>
      <c r="I567" s="2"/>
      <c r="J567" s="3"/>
    </row>
    <row r="568" spans="7:10" x14ac:dyDescent="0.3">
      <c r="G568" s="1"/>
      <c r="H568" s="2"/>
      <c r="I568" s="2"/>
      <c r="J568" s="3"/>
    </row>
    <row r="569" spans="7:10" x14ac:dyDescent="0.3">
      <c r="G569" s="1"/>
      <c r="H569" s="2"/>
      <c r="I569" s="2"/>
      <c r="J569" s="3"/>
    </row>
    <row r="570" spans="7:10" x14ac:dyDescent="0.3">
      <c r="G570" s="1"/>
      <c r="H570" s="2"/>
      <c r="I570" s="2"/>
      <c r="J570" s="3"/>
    </row>
    <row r="571" spans="7:10" x14ac:dyDescent="0.3">
      <c r="G571" s="1"/>
      <c r="H571" s="2"/>
      <c r="I571" s="2"/>
      <c r="J571" s="3"/>
    </row>
    <row r="572" spans="7:10" x14ac:dyDescent="0.3">
      <c r="G572" s="1"/>
      <c r="H572" s="2"/>
      <c r="I572" s="2"/>
      <c r="J572" s="3"/>
    </row>
    <row r="573" spans="7:10" x14ac:dyDescent="0.3">
      <c r="H573" s="2"/>
      <c r="I573" s="2"/>
      <c r="J573" s="3"/>
    </row>
    <row r="574" spans="7:10" x14ac:dyDescent="0.3">
      <c r="G574" s="1"/>
      <c r="H574" s="2"/>
      <c r="I574" s="2"/>
      <c r="J574" s="3"/>
    </row>
    <row r="575" spans="7:10" x14ac:dyDescent="0.3">
      <c r="G575" s="1"/>
      <c r="H575" s="2"/>
      <c r="I575" s="2"/>
      <c r="J575" s="3"/>
    </row>
    <row r="576" spans="7:10" x14ac:dyDescent="0.3">
      <c r="G576" s="1"/>
      <c r="H576" s="2"/>
      <c r="I576" s="2"/>
      <c r="J576" s="3"/>
    </row>
    <row r="577" spans="7:10" x14ac:dyDescent="0.3">
      <c r="G577" s="1"/>
      <c r="H577" s="2"/>
      <c r="I577" s="2"/>
      <c r="J577" s="3"/>
    </row>
    <row r="578" spans="7:10" x14ac:dyDescent="0.3">
      <c r="G578" s="1"/>
      <c r="H578" s="2"/>
      <c r="I578" s="2"/>
      <c r="J578" s="3"/>
    </row>
    <row r="579" spans="7:10" x14ac:dyDescent="0.3">
      <c r="G579" s="1"/>
      <c r="H579" s="2"/>
      <c r="I579" s="2"/>
      <c r="J579" s="3"/>
    </row>
    <row r="580" spans="7:10" x14ac:dyDescent="0.3">
      <c r="G580" s="1"/>
      <c r="H580" s="2"/>
      <c r="I580" s="2"/>
      <c r="J580" s="3"/>
    </row>
    <row r="581" spans="7:10" x14ac:dyDescent="0.3">
      <c r="G581" s="1"/>
      <c r="H581" s="2"/>
      <c r="I581" s="2"/>
      <c r="J581" s="3"/>
    </row>
    <row r="582" spans="7:10" x14ac:dyDescent="0.3">
      <c r="G582" s="1"/>
      <c r="H582" s="2"/>
      <c r="I582" s="2"/>
      <c r="J582" s="3"/>
    </row>
    <row r="583" spans="7:10" x14ac:dyDescent="0.3">
      <c r="G583" s="1"/>
      <c r="H583" s="2"/>
      <c r="I583" s="2"/>
      <c r="J583" s="3"/>
    </row>
    <row r="584" spans="7:10" x14ac:dyDescent="0.3">
      <c r="H584" s="2"/>
      <c r="I584" s="2"/>
      <c r="J584" s="3"/>
    </row>
    <row r="585" spans="7:10" x14ac:dyDescent="0.3">
      <c r="G585" s="1"/>
      <c r="H585" s="2"/>
      <c r="I585" s="2"/>
      <c r="J585" s="3"/>
    </row>
    <row r="586" spans="7:10" x14ac:dyDescent="0.3">
      <c r="G586" s="1"/>
      <c r="H586" s="2"/>
      <c r="I586" s="2"/>
      <c r="J586" s="3"/>
    </row>
    <row r="587" spans="7:10" x14ac:dyDescent="0.3">
      <c r="G587" s="1"/>
      <c r="H587" s="2"/>
      <c r="I587" s="2"/>
      <c r="J587" s="3"/>
    </row>
    <row r="588" spans="7:10" x14ac:dyDescent="0.3">
      <c r="G588" s="1"/>
      <c r="H588" s="2"/>
      <c r="I588" s="2"/>
      <c r="J588" s="3"/>
    </row>
    <row r="589" spans="7:10" x14ac:dyDescent="0.3">
      <c r="G589" s="1"/>
      <c r="H589" s="2"/>
      <c r="I589" s="2"/>
      <c r="J589" s="3"/>
    </row>
    <row r="590" spans="7:10" x14ac:dyDescent="0.3">
      <c r="G590" s="1"/>
      <c r="H590" s="2"/>
      <c r="I590" s="2"/>
      <c r="J590" s="3"/>
    </row>
    <row r="591" spans="7:10" x14ac:dyDescent="0.3">
      <c r="G591" s="1"/>
      <c r="H591" s="2"/>
      <c r="I591" s="2"/>
      <c r="J591" s="3"/>
    </row>
    <row r="592" spans="7:10" x14ac:dyDescent="0.3">
      <c r="G592" s="1"/>
      <c r="H592" s="2"/>
      <c r="I592" s="2"/>
      <c r="J592" s="3"/>
    </row>
    <row r="593" spans="7:10" x14ac:dyDescent="0.3">
      <c r="G593" s="1"/>
      <c r="H593" s="2"/>
      <c r="I593" s="2"/>
      <c r="J593" s="3"/>
    </row>
    <row r="594" spans="7:10" x14ac:dyDescent="0.3">
      <c r="G594" s="1"/>
      <c r="H594" s="2"/>
      <c r="I594" s="2"/>
      <c r="J594" s="3"/>
    </row>
    <row r="595" spans="7:10" x14ac:dyDescent="0.3">
      <c r="G595" s="1"/>
      <c r="H595" s="2"/>
      <c r="I595" s="2"/>
      <c r="J595" s="3"/>
    </row>
    <row r="596" spans="7:10" x14ac:dyDescent="0.3">
      <c r="G596" s="1"/>
      <c r="H596" s="2"/>
      <c r="I596" s="2"/>
      <c r="J596" s="3"/>
    </row>
    <row r="597" spans="7:10" x14ac:dyDescent="0.3">
      <c r="G597" s="1"/>
      <c r="H597" s="2"/>
      <c r="I597" s="2"/>
      <c r="J597" s="3"/>
    </row>
    <row r="598" spans="7:10" x14ac:dyDescent="0.3">
      <c r="G598" s="1"/>
      <c r="H598" s="2"/>
      <c r="I598" s="2"/>
      <c r="J598" s="3"/>
    </row>
    <row r="599" spans="7:10" x14ac:dyDescent="0.3">
      <c r="G599" s="1"/>
      <c r="H599" s="2"/>
      <c r="I599" s="2"/>
      <c r="J599" s="3"/>
    </row>
    <row r="600" spans="7:10" x14ac:dyDescent="0.3">
      <c r="G600" s="1"/>
      <c r="H600" s="2"/>
      <c r="I600" s="2"/>
      <c r="J600" s="3"/>
    </row>
    <row r="601" spans="7:10" x14ac:dyDescent="0.3">
      <c r="G601" s="1"/>
      <c r="H601" s="2"/>
      <c r="I601" s="2"/>
      <c r="J601" s="3"/>
    </row>
    <row r="602" spans="7:10" x14ac:dyDescent="0.3">
      <c r="G602" s="1"/>
      <c r="H602" s="2"/>
      <c r="I602" s="2"/>
      <c r="J602" s="3"/>
    </row>
    <row r="603" spans="7:10" x14ac:dyDescent="0.3">
      <c r="G603" s="1"/>
      <c r="H603" s="2"/>
      <c r="I603" s="2"/>
      <c r="J603" s="3"/>
    </row>
    <row r="604" spans="7:10" x14ac:dyDescent="0.3">
      <c r="G604" s="1"/>
      <c r="H604" s="2"/>
      <c r="I604" s="2"/>
      <c r="J604" s="3"/>
    </row>
    <row r="605" spans="7:10" x14ac:dyDescent="0.3">
      <c r="G605" s="1"/>
      <c r="H605" s="2"/>
      <c r="I605" s="2"/>
      <c r="J605" s="3"/>
    </row>
    <row r="606" spans="7:10" x14ac:dyDescent="0.3">
      <c r="G606" s="1"/>
      <c r="H606" s="2"/>
      <c r="I606" s="2"/>
      <c r="J606" s="3"/>
    </row>
    <row r="607" spans="7:10" x14ac:dyDescent="0.3">
      <c r="G607" s="1"/>
      <c r="H607" s="2"/>
      <c r="I607" s="2"/>
      <c r="J607" s="3"/>
    </row>
    <row r="608" spans="7:10" x14ac:dyDescent="0.3">
      <c r="G608" s="1"/>
      <c r="H608" s="2"/>
      <c r="I608" s="2"/>
      <c r="J608" s="3"/>
    </row>
    <row r="609" spans="7:10" x14ac:dyDescent="0.3">
      <c r="G609" s="1"/>
      <c r="H609" s="2"/>
      <c r="I609" s="2"/>
      <c r="J609" s="3"/>
    </row>
    <row r="610" spans="7:10" x14ac:dyDescent="0.3">
      <c r="G610" s="1"/>
      <c r="H610" s="2"/>
      <c r="I610" s="2"/>
      <c r="J610" s="3"/>
    </row>
    <row r="611" spans="7:10" x14ac:dyDescent="0.3">
      <c r="G611" s="1"/>
      <c r="H611" s="2"/>
      <c r="I611" s="2"/>
      <c r="J611" s="3"/>
    </row>
    <row r="612" spans="7:10" x14ac:dyDescent="0.3">
      <c r="G612" s="1"/>
      <c r="H612" s="2"/>
      <c r="I612" s="2"/>
      <c r="J612" s="3"/>
    </row>
    <row r="613" spans="7:10" x14ac:dyDescent="0.3">
      <c r="G613" s="1"/>
      <c r="H613" s="2"/>
      <c r="I613" s="2"/>
      <c r="J613" s="3"/>
    </row>
    <row r="614" spans="7:10" x14ac:dyDescent="0.3">
      <c r="G614" s="1"/>
      <c r="H614" s="2"/>
      <c r="I614" s="2"/>
      <c r="J614" s="3"/>
    </row>
    <row r="615" spans="7:10" x14ac:dyDescent="0.3">
      <c r="G615" s="1"/>
      <c r="H615" s="2"/>
      <c r="I615" s="2"/>
      <c r="J615" s="3"/>
    </row>
    <row r="616" spans="7:10" x14ac:dyDescent="0.3">
      <c r="G616" s="1"/>
      <c r="H616" s="2"/>
      <c r="I616" s="2"/>
      <c r="J616" s="3"/>
    </row>
    <row r="617" spans="7:10" x14ac:dyDescent="0.3">
      <c r="G617" s="1"/>
      <c r="H617" s="2"/>
      <c r="I617" s="2"/>
      <c r="J617" s="3"/>
    </row>
    <row r="618" spans="7:10" x14ac:dyDescent="0.3">
      <c r="G618" s="1"/>
      <c r="H618" s="2"/>
      <c r="I618" s="2"/>
      <c r="J618" s="3"/>
    </row>
    <row r="619" spans="7:10" x14ac:dyDescent="0.3">
      <c r="G619" s="1"/>
      <c r="H619" s="2"/>
      <c r="I619" s="2"/>
      <c r="J619" s="3"/>
    </row>
    <row r="620" spans="7:10" x14ac:dyDescent="0.3">
      <c r="G620" s="1"/>
      <c r="H620" s="2"/>
      <c r="I620" s="2"/>
      <c r="J620" s="3"/>
    </row>
    <row r="621" spans="7:10" x14ac:dyDescent="0.3">
      <c r="G621" s="1"/>
      <c r="H621" s="2"/>
      <c r="I621" s="2"/>
      <c r="J621" s="3"/>
    </row>
    <row r="622" spans="7:10" x14ac:dyDescent="0.3">
      <c r="G622" s="1"/>
      <c r="H622" s="2"/>
      <c r="I622" s="2"/>
      <c r="J622" s="3"/>
    </row>
    <row r="623" spans="7:10" x14ac:dyDescent="0.3">
      <c r="G623" s="1"/>
      <c r="H623" s="2"/>
      <c r="I623" s="2"/>
      <c r="J623" s="3"/>
    </row>
    <row r="624" spans="7:10" x14ac:dyDescent="0.3">
      <c r="G624" s="1"/>
      <c r="H624" s="2"/>
      <c r="I624" s="2"/>
      <c r="J624" s="3"/>
    </row>
    <row r="625" spans="7:10" x14ac:dyDescent="0.3">
      <c r="G625" s="1"/>
      <c r="H625" s="2"/>
      <c r="I625" s="2"/>
      <c r="J625" s="3"/>
    </row>
    <row r="626" spans="7:10" x14ac:dyDescent="0.3">
      <c r="G626" s="1"/>
      <c r="H626" s="2"/>
      <c r="I626" s="2"/>
      <c r="J626" s="3"/>
    </row>
    <row r="627" spans="7:10" x14ac:dyDescent="0.3">
      <c r="G627" s="1"/>
      <c r="H627" s="2"/>
      <c r="I627" s="2"/>
      <c r="J627" s="3"/>
    </row>
    <row r="628" spans="7:10" x14ac:dyDescent="0.3">
      <c r="G628" s="1"/>
      <c r="H628" s="2"/>
      <c r="I628" s="2"/>
      <c r="J628" s="3"/>
    </row>
    <row r="629" spans="7:10" x14ac:dyDescent="0.3">
      <c r="G629" s="1"/>
      <c r="H629" s="2"/>
      <c r="I629" s="2"/>
      <c r="J629" s="3"/>
    </row>
    <row r="630" spans="7:10" x14ac:dyDescent="0.3">
      <c r="G630" s="1"/>
      <c r="H630" s="2"/>
      <c r="I630" s="2"/>
      <c r="J630" s="3"/>
    </row>
    <row r="631" spans="7:10" x14ac:dyDescent="0.3">
      <c r="G631" s="1"/>
      <c r="H631" s="2"/>
      <c r="I631" s="2"/>
      <c r="J631" s="3"/>
    </row>
    <row r="632" spans="7:10" x14ac:dyDescent="0.3">
      <c r="G632" s="1"/>
      <c r="H632" s="2"/>
      <c r="I632" s="2"/>
      <c r="J632" s="3"/>
    </row>
    <row r="633" spans="7:10" x14ac:dyDescent="0.3">
      <c r="G633" s="1"/>
      <c r="H633" s="2"/>
      <c r="I633" s="2"/>
      <c r="J633" s="3"/>
    </row>
    <row r="634" spans="7:10" x14ac:dyDescent="0.3">
      <c r="G634" s="1"/>
      <c r="H634" s="2"/>
      <c r="I634" s="2"/>
      <c r="J634" s="3"/>
    </row>
    <row r="635" spans="7:10" x14ac:dyDescent="0.3">
      <c r="G635" s="1"/>
      <c r="H635" s="2"/>
      <c r="I635" s="2"/>
      <c r="J635" s="3"/>
    </row>
    <row r="636" spans="7:10" x14ac:dyDescent="0.3">
      <c r="G636" s="1"/>
      <c r="H636" s="2"/>
      <c r="I636" s="2"/>
      <c r="J636" s="3"/>
    </row>
    <row r="637" spans="7:10" x14ac:dyDescent="0.3">
      <c r="G637" s="1"/>
      <c r="H637" s="2"/>
      <c r="I637" s="2"/>
      <c r="J637" s="3"/>
    </row>
    <row r="638" spans="7:10" x14ac:dyDescent="0.3">
      <c r="G638" s="1"/>
      <c r="H638" s="2"/>
      <c r="I638" s="2"/>
      <c r="J638" s="3"/>
    </row>
    <row r="639" spans="7:10" x14ac:dyDescent="0.3">
      <c r="G639" s="1"/>
      <c r="H639" s="2"/>
      <c r="I639" s="2"/>
      <c r="J639" s="3"/>
    </row>
    <row r="640" spans="7:10" x14ac:dyDescent="0.3">
      <c r="G640" s="1"/>
      <c r="H640" s="2"/>
      <c r="I640" s="2"/>
      <c r="J640" s="3"/>
    </row>
    <row r="641" spans="7:10" x14ac:dyDescent="0.3">
      <c r="G641" s="1"/>
      <c r="H641" s="2"/>
      <c r="I641" s="2"/>
      <c r="J641" s="3"/>
    </row>
    <row r="642" spans="7:10" x14ac:dyDescent="0.3">
      <c r="G642" s="1"/>
      <c r="H642" s="2"/>
      <c r="I642" s="2"/>
      <c r="J642" s="3"/>
    </row>
    <row r="643" spans="7:10" x14ac:dyDescent="0.3">
      <c r="G643" s="1"/>
      <c r="H643" s="2"/>
      <c r="I643" s="2"/>
      <c r="J643" s="3"/>
    </row>
    <row r="644" spans="7:10" x14ac:dyDescent="0.3">
      <c r="G644" s="1"/>
      <c r="H644" s="2"/>
      <c r="I644" s="2"/>
      <c r="J644" s="3"/>
    </row>
    <row r="645" spans="7:10" x14ac:dyDescent="0.3">
      <c r="G645" s="1"/>
      <c r="H645" s="2"/>
      <c r="I645" s="2"/>
      <c r="J645" s="3"/>
    </row>
    <row r="646" spans="7:10" x14ac:dyDescent="0.3">
      <c r="G646" s="1"/>
      <c r="H646" s="2"/>
      <c r="I646" s="2"/>
      <c r="J646" s="3"/>
    </row>
    <row r="647" spans="7:10" x14ac:dyDescent="0.3">
      <c r="G647" s="1"/>
      <c r="H647" s="2"/>
      <c r="I647" s="2"/>
      <c r="J647" s="3"/>
    </row>
    <row r="648" spans="7:10" x14ac:dyDescent="0.3">
      <c r="G648" s="1"/>
      <c r="H648" s="2"/>
      <c r="I648" s="2"/>
      <c r="J648" s="3"/>
    </row>
    <row r="649" spans="7:10" x14ac:dyDescent="0.3">
      <c r="G649" s="1"/>
      <c r="H649" s="2"/>
      <c r="I649" s="2"/>
      <c r="J649" s="3"/>
    </row>
    <row r="650" spans="7:10" x14ac:dyDescent="0.3">
      <c r="G650" s="1"/>
      <c r="H650" s="2"/>
      <c r="I650" s="2"/>
      <c r="J650" s="3"/>
    </row>
    <row r="651" spans="7:10" x14ac:dyDescent="0.3">
      <c r="G651" s="1"/>
      <c r="H651" s="2"/>
      <c r="I651" s="2"/>
      <c r="J651" s="3"/>
    </row>
    <row r="652" spans="7:10" x14ac:dyDescent="0.3">
      <c r="G652" s="1"/>
      <c r="H652" s="2"/>
      <c r="I652" s="2"/>
      <c r="J652" s="3"/>
    </row>
    <row r="653" spans="7:10" x14ac:dyDescent="0.3">
      <c r="G653" s="1"/>
      <c r="H653" s="2"/>
      <c r="I653" s="2"/>
      <c r="J653" s="3"/>
    </row>
    <row r="654" spans="7:10" x14ac:dyDescent="0.3">
      <c r="G654" s="1"/>
      <c r="H654" s="2"/>
      <c r="I654" s="2"/>
      <c r="J654" s="3"/>
    </row>
    <row r="655" spans="7:10" x14ac:dyDescent="0.3">
      <c r="G655" s="1"/>
      <c r="H655" s="2"/>
      <c r="I655" s="2"/>
      <c r="J655" s="3"/>
    </row>
    <row r="656" spans="7:10" x14ac:dyDescent="0.3">
      <c r="G656" s="1"/>
      <c r="H656" s="2"/>
      <c r="I656" s="2"/>
      <c r="J656" s="3"/>
    </row>
    <row r="657" spans="7:10" x14ac:dyDescent="0.3">
      <c r="G657" s="1"/>
      <c r="H657" s="2"/>
      <c r="I657" s="2"/>
      <c r="J657" s="3"/>
    </row>
    <row r="658" spans="7:10" x14ac:dyDescent="0.3">
      <c r="G658" s="1"/>
      <c r="H658" s="2"/>
      <c r="I658" s="2"/>
      <c r="J658" s="3"/>
    </row>
    <row r="659" spans="7:10" x14ac:dyDescent="0.3">
      <c r="G659" s="1"/>
      <c r="H659" s="2"/>
      <c r="I659" s="2"/>
      <c r="J659" s="3"/>
    </row>
    <row r="660" spans="7:10" x14ac:dyDescent="0.3">
      <c r="G660" s="1"/>
      <c r="H660" s="2"/>
      <c r="I660" s="2"/>
      <c r="J660" s="3"/>
    </row>
    <row r="661" spans="7:10" x14ac:dyDescent="0.3">
      <c r="G661" s="1"/>
      <c r="H661" s="2"/>
      <c r="I661" s="2"/>
      <c r="J661" s="3"/>
    </row>
    <row r="662" spans="7:10" x14ac:dyDescent="0.3">
      <c r="G662" s="1"/>
      <c r="H662" s="2"/>
      <c r="I662" s="2"/>
      <c r="J662" s="3"/>
    </row>
    <row r="663" spans="7:10" x14ac:dyDescent="0.3">
      <c r="G663" s="1"/>
      <c r="H663" s="2"/>
      <c r="I663" s="2"/>
      <c r="J663" s="3"/>
    </row>
    <row r="664" spans="7:10" x14ac:dyDescent="0.3">
      <c r="G664" s="1"/>
      <c r="H664" s="2"/>
      <c r="I664" s="2"/>
      <c r="J664" s="3"/>
    </row>
    <row r="665" spans="7:10" x14ac:dyDescent="0.3">
      <c r="G665" s="1"/>
      <c r="H665" s="2"/>
      <c r="I665" s="2"/>
      <c r="J665" s="3"/>
    </row>
    <row r="666" spans="7:10" x14ac:dyDescent="0.3">
      <c r="G666" s="1"/>
      <c r="H666" s="2"/>
      <c r="I666" s="2"/>
      <c r="J666" s="3"/>
    </row>
    <row r="667" spans="7:10" x14ac:dyDescent="0.3">
      <c r="G667" s="1"/>
      <c r="H667" s="2"/>
      <c r="I667" s="2"/>
      <c r="J667" s="3"/>
    </row>
    <row r="668" spans="7:10" x14ac:dyDescent="0.3">
      <c r="G668" s="1"/>
      <c r="H668" s="2"/>
      <c r="I668" s="2"/>
      <c r="J668" s="3"/>
    </row>
    <row r="669" spans="7:10" x14ac:dyDescent="0.3">
      <c r="G669" s="1"/>
      <c r="H669" s="2"/>
      <c r="I669" s="2"/>
      <c r="J669" s="3"/>
    </row>
    <row r="670" spans="7:10" x14ac:dyDescent="0.3">
      <c r="G670" s="1"/>
      <c r="H670" s="2"/>
      <c r="I670" s="2"/>
      <c r="J670" s="3"/>
    </row>
    <row r="671" spans="7:10" x14ac:dyDescent="0.3">
      <c r="G671" s="1"/>
      <c r="H671" s="2"/>
      <c r="I671" s="2"/>
      <c r="J671" s="3"/>
    </row>
    <row r="672" spans="7:10" x14ac:dyDescent="0.3">
      <c r="G672" s="1"/>
      <c r="H672" s="2"/>
      <c r="I672" s="2"/>
      <c r="J672" s="3"/>
    </row>
    <row r="673" spans="7:10" x14ac:dyDescent="0.3">
      <c r="G673" s="1"/>
      <c r="H673" s="2"/>
      <c r="I673" s="2"/>
      <c r="J673" s="3"/>
    </row>
    <row r="674" spans="7:10" x14ac:dyDescent="0.3">
      <c r="G674" s="1"/>
      <c r="H674" s="2"/>
      <c r="I674" s="2"/>
      <c r="J674" s="3"/>
    </row>
    <row r="675" spans="7:10" x14ac:dyDescent="0.3">
      <c r="G675" s="1"/>
      <c r="H675" s="2"/>
      <c r="I675" s="2"/>
      <c r="J675" s="3"/>
    </row>
    <row r="676" spans="7:10" x14ac:dyDescent="0.3">
      <c r="G676" s="1"/>
      <c r="H676" s="2"/>
      <c r="I676" s="2"/>
      <c r="J676" s="3"/>
    </row>
    <row r="677" spans="7:10" x14ac:dyDescent="0.3">
      <c r="G677" s="1"/>
      <c r="H677" s="2"/>
      <c r="I677" s="2"/>
      <c r="J677" s="3"/>
    </row>
    <row r="678" spans="7:10" x14ac:dyDescent="0.3">
      <c r="G678" s="1"/>
      <c r="H678" s="2"/>
      <c r="I678" s="2"/>
      <c r="J678" s="3"/>
    </row>
    <row r="679" spans="7:10" x14ac:dyDescent="0.3">
      <c r="G679" s="1"/>
      <c r="H679" s="2"/>
      <c r="I679" s="2"/>
      <c r="J679" s="3"/>
    </row>
    <row r="680" spans="7:10" x14ac:dyDescent="0.3">
      <c r="G680" s="1"/>
      <c r="H680" s="2"/>
      <c r="I680" s="2"/>
      <c r="J680" s="3"/>
    </row>
    <row r="681" spans="7:10" x14ac:dyDescent="0.3">
      <c r="G681" s="1"/>
      <c r="H681" s="2"/>
      <c r="I681" s="2"/>
      <c r="J681" s="3"/>
    </row>
    <row r="682" spans="7:10" x14ac:dyDescent="0.3">
      <c r="G682" s="1"/>
      <c r="H682" s="2"/>
      <c r="I682" s="2"/>
      <c r="J682" s="3"/>
    </row>
    <row r="683" spans="7:10" x14ac:dyDescent="0.3">
      <c r="G683" s="1"/>
      <c r="H683" s="2"/>
      <c r="I683" s="2"/>
      <c r="J683" s="3"/>
    </row>
    <row r="684" spans="7:10" x14ac:dyDescent="0.3">
      <c r="G684" s="1"/>
      <c r="H684" s="2"/>
      <c r="I684" s="2"/>
      <c r="J684" s="3"/>
    </row>
    <row r="685" spans="7:10" x14ac:dyDescent="0.3">
      <c r="G685" s="1"/>
      <c r="H685" s="2"/>
      <c r="I685" s="2"/>
      <c r="J685" s="3"/>
    </row>
    <row r="686" spans="7:10" x14ac:dyDescent="0.3">
      <c r="G686" s="1"/>
      <c r="H686" s="2"/>
      <c r="I686" s="2"/>
      <c r="J686" s="3"/>
    </row>
    <row r="687" spans="7:10" x14ac:dyDescent="0.3">
      <c r="G687" s="1"/>
      <c r="H687" s="2"/>
      <c r="I687" s="2"/>
      <c r="J687" s="3"/>
    </row>
    <row r="688" spans="7:10" x14ac:dyDescent="0.3">
      <c r="G688" s="1"/>
      <c r="H688" s="2"/>
      <c r="I688" s="2"/>
      <c r="J688" s="3"/>
    </row>
    <row r="689" spans="7:10" x14ac:dyDescent="0.3">
      <c r="G689" s="1"/>
      <c r="H689" s="2"/>
      <c r="I689" s="2"/>
      <c r="J689" s="3"/>
    </row>
    <row r="690" spans="7:10" x14ac:dyDescent="0.3">
      <c r="G690" s="1"/>
      <c r="H690" s="2"/>
      <c r="I690" s="2"/>
      <c r="J690" s="3"/>
    </row>
    <row r="691" spans="7:10" x14ac:dyDescent="0.3">
      <c r="G691" s="1"/>
      <c r="H691" s="2"/>
      <c r="I691" s="2"/>
      <c r="J691" s="3"/>
    </row>
    <row r="692" spans="7:10" x14ac:dyDescent="0.3">
      <c r="G692" s="1"/>
      <c r="H692" s="2"/>
      <c r="I692" s="2"/>
      <c r="J692" s="3"/>
    </row>
    <row r="693" spans="7:10" x14ac:dyDescent="0.3">
      <c r="G693" s="1"/>
      <c r="H693" s="2"/>
      <c r="I693" s="2"/>
      <c r="J693" s="3"/>
    </row>
    <row r="694" spans="7:10" x14ac:dyDescent="0.3">
      <c r="G694" s="1"/>
      <c r="H694" s="2"/>
      <c r="I694" s="2"/>
      <c r="J694" s="3"/>
    </row>
    <row r="695" spans="7:10" x14ac:dyDescent="0.3">
      <c r="G695" s="1"/>
      <c r="H695" s="2"/>
      <c r="I695" s="2"/>
      <c r="J695" s="3"/>
    </row>
    <row r="696" spans="7:10" x14ac:dyDescent="0.3">
      <c r="G696" s="1"/>
      <c r="H696" s="2"/>
      <c r="I696" s="2"/>
      <c r="J696" s="3"/>
    </row>
    <row r="697" spans="7:10" x14ac:dyDescent="0.3">
      <c r="G697" s="1"/>
      <c r="H697" s="2"/>
      <c r="I697" s="2"/>
      <c r="J697" s="3"/>
    </row>
    <row r="698" spans="7:10" x14ac:dyDescent="0.3">
      <c r="G698" s="1"/>
      <c r="H698" s="2"/>
      <c r="I698" s="2"/>
      <c r="J698" s="3"/>
    </row>
    <row r="699" spans="7:10" x14ac:dyDescent="0.3">
      <c r="G699" s="1"/>
      <c r="H699" s="2"/>
      <c r="I699" s="2"/>
      <c r="J699" s="3"/>
    </row>
    <row r="700" spans="7:10" x14ac:dyDescent="0.3">
      <c r="G700" s="1"/>
      <c r="H700" s="2"/>
      <c r="I700" s="2"/>
      <c r="J700" s="3"/>
    </row>
    <row r="701" spans="7:10" x14ac:dyDescent="0.3">
      <c r="G701" s="1"/>
      <c r="H701" s="2"/>
      <c r="I701" s="2"/>
      <c r="J701" s="3"/>
    </row>
    <row r="702" spans="7:10" x14ac:dyDescent="0.3">
      <c r="G702" s="1"/>
      <c r="H702" s="2"/>
      <c r="I702" s="2"/>
      <c r="J702" s="3"/>
    </row>
    <row r="703" spans="7:10" x14ac:dyDescent="0.3">
      <c r="G703" s="1"/>
      <c r="H703" s="2"/>
      <c r="I703" s="2"/>
      <c r="J703" s="3"/>
    </row>
    <row r="704" spans="7:10" x14ac:dyDescent="0.3">
      <c r="H704" s="2"/>
      <c r="I704" s="2"/>
      <c r="J704" s="3"/>
    </row>
    <row r="705" spans="7:10" x14ac:dyDescent="0.3">
      <c r="G705" s="1"/>
      <c r="H705" s="2"/>
      <c r="I705" s="2"/>
      <c r="J705" s="3"/>
    </row>
    <row r="706" spans="7:10" x14ac:dyDescent="0.3">
      <c r="G706" s="1"/>
      <c r="H706" s="2"/>
      <c r="I706" s="2"/>
      <c r="J706" s="3"/>
    </row>
    <row r="707" spans="7:10" x14ac:dyDescent="0.3">
      <c r="G707" s="1"/>
      <c r="H707" s="2"/>
      <c r="I707" s="2"/>
      <c r="J707" s="3"/>
    </row>
    <row r="708" spans="7:10" x14ac:dyDescent="0.3">
      <c r="G708" s="1"/>
      <c r="H708" s="2"/>
      <c r="I708" s="2"/>
      <c r="J708" s="3"/>
    </row>
    <row r="709" spans="7:10" x14ac:dyDescent="0.3">
      <c r="G709" s="1"/>
      <c r="H709" s="2"/>
      <c r="I709" s="2"/>
      <c r="J709" s="3"/>
    </row>
    <row r="710" spans="7:10" x14ac:dyDescent="0.3">
      <c r="G710" s="1"/>
      <c r="H710" s="2"/>
      <c r="I710" s="2"/>
      <c r="J710" s="3"/>
    </row>
    <row r="711" spans="7:10" x14ac:dyDescent="0.3">
      <c r="G711" s="1"/>
      <c r="H711" s="2"/>
      <c r="I711" s="2"/>
      <c r="J711" s="3"/>
    </row>
    <row r="712" spans="7:10" x14ac:dyDescent="0.3">
      <c r="G712" s="1"/>
      <c r="H712" s="2"/>
      <c r="I712" s="2"/>
      <c r="J712" s="3"/>
    </row>
    <row r="713" spans="7:10" x14ac:dyDescent="0.3">
      <c r="G713" s="1"/>
      <c r="H713" s="2"/>
      <c r="I713" s="2"/>
      <c r="J713" s="3"/>
    </row>
    <row r="714" spans="7:10" x14ac:dyDescent="0.3">
      <c r="G714" s="1"/>
      <c r="H714" s="2"/>
      <c r="I714" s="2"/>
      <c r="J714" s="3"/>
    </row>
    <row r="715" spans="7:10" x14ac:dyDescent="0.3">
      <c r="G715" s="1"/>
      <c r="H715" s="2"/>
      <c r="I715" s="2"/>
      <c r="J715" s="3"/>
    </row>
    <row r="716" spans="7:10" x14ac:dyDescent="0.3">
      <c r="G716" s="1"/>
      <c r="H716" s="2"/>
      <c r="I716" s="2"/>
      <c r="J716" s="3"/>
    </row>
    <row r="717" spans="7:10" x14ac:dyDescent="0.3">
      <c r="G717" s="1"/>
      <c r="H717" s="2"/>
      <c r="I717" s="2"/>
      <c r="J717" s="3"/>
    </row>
    <row r="718" spans="7:10" x14ac:dyDescent="0.3">
      <c r="G718" s="1"/>
      <c r="H718" s="2"/>
      <c r="I718" s="2"/>
      <c r="J718" s="3"/>
    </row>
    <row r="719" spans="7:10" x14ac:dyDescent="0.3">
      <c r="G719" s="1"/>
      <c r="H719" s="2"/>
      <c r="I719" s="2"/>
      <c r="J719" s="3"/>
    </row>
    <row r="720" spans="7:10" x14ac:dyDescent="0.3">
      <c r="G720" s="1"/>
      <c r="H720" s="2"/>
      <c r="I720" s="2"/>
      <c r="J720" s="3"/>
    </row>
    <row r="721" spans="7:10" x14ac:dyDescent="0.3">
      <c r="G721" s="1"/>
      <c r="H721" s="2"/>
      <c r="I721" s="2"/>
      <c r="J721" s="3"/>
    </row>
    <row r="722" spans="7:10" x14ac:dyDescent="0.3">
      <c r="G722" s="1"/>
      <c r="H722" s="2"/>
      <c r="I722" s="2"/>
      <c r="J722" s="3"/>
    </row>
    <row r="723" spans="7:10" x14ac:dyDescent="0.3">
      <c r="G723" s="1"/>
      <c r="H723" s="2"/>
      <c r="I723" s="2"/>
      <c r="J723" s="3"/>
    </row>
    <row r="724" spans="7:10" x14ac:dyDescent="0.3">
      <c r="G724" s="1"/>
      <c r="H724" s="2"/>
      <c r="I724" s="2"/>
      <c r="J724" s="3"/>
    </row>
    <row r="725" spans="7:10" x14ac:dyDescent="0.3">
      <c r="G725" s="1"/>
      <c r="H725" s="2"/>
      <c r="I725" s="2"/>
      <c r="J725" s="3"/>
    </row>
    <row r="726" spans="7:10" x14ac:dyDescent="0.3">
      <c r="G726" s="1"/>
      <c r="H726" s="2"/>
      <c r="I726" s="2"/>
      <c r="J726" s="3"/>
    </row>
    <row r="727" spans="7:10" x14ac:dyDescent="0.3">
      <c r="G727" s="1"/>
      <c r="H727" s="2"/>
      <c r="I727" s="2"/>
      <c r="J727" s="3"/>
    </row>
    <row r="728" spans="7:10" x14ac:dyDescent="0.3">
      <c r="G728" s="1"/>
      <c r="H728" s="2"/>
      <c r="I728" s="2"/>
      <c r="J728" s="3"/>
    </row>
    <row r="729" spans="7:10" x14ac:dyDescent="0.3">
      <c r="G729" s="1"/>
      <c r="H729" s="2"/>
      <c r="I729" s="2"/>
      <c r="J729" s="3"/>
    </row>
    <row r="730" spans="7:10" x14ac:dyDescent="0.3">
      <c r="G730" s="1"/>
      <c r="H730" s="2"/>
      <c r="I730" s="2"/>
      <c r="J730" s="3"/>
    </row>
    <row r="731" spans="7:10" x14ac:dyDescent="0.3">
      <c r="G731" s="1"/>
      <c r="H731" s="2"/>
      <c r="I731" s="2"/>
      <c r="J731" s="3"/>
    </row>
    <row r="732" spans="7:10" x14ac:dyDescent="0.3">
      <c r="G732" s="1"/>
      <c r="H732" s="2"/>
      <c r="I732" s="2"/>
      <c r="J732" s="3"/>
    </row>
    <row r="733" spans="7:10" x14ac:dyDescent="0.3">
      <c r="G733" s="1"/>
      <c r="H733" s="2"/>
      <c r="I733" s="2"/>
      <c r="J733" s="3"/>
    </row>
    <row r="734" spans="7:10" x14ac:dyDescent="0.3">
      <c r="G734" s="1"/>
      <c r="H734" s="2"/>
      <c r="I734" s="2"/>
      <c r="J734" s="3"/>
    </row>
    <row r="735" spans="7:10" x14ac:dyDescent="0.3">
      <c r="G735" s="1"/>
      <c r="H735" s="2"/>
      <c r="I735" s="2"/>
      <c r="J735" s="3"/>
    </row>
    <row r="736" spans="7:10" x14ac:dyDescent="0.3">
      <c r="G736" s="1"/>
      <c r="H736" s="2"/>
      <c r="I736" s="2"/>
      <c r="J736" s="3"/>
    </row>
    <row r="737" spans="7:10" x14ac:dyDescent="0.3">
      <c r="G737" s="1"/>
      <c r="H737" s="2"/>
      <c r="I737" s="2"/>
      <c r="J737" s="3"/>
    </row>
    <row r="738" spans="7:10" x14ac:dyDescent="0.3">
      <c r="G738" s="1"/>
      <c r="H738" s="2"/>
      <c r="I738" s="2"/>
      <c r="J738" s="3"/>
    </row>
    <row r="739" spans="7:10" x14ac:dyDescent="0.3">
      <c r="G739" s="1"/>
      <c r="H739" s="2"/>
      <c r="I739" s="2"/>
      <c r="J739" s="3"/>
    </row>
    <row r="740" spans="7:10" x14ac:dyDescent="0.3">
      <c r="G740" s="1"/>
      <c r="H740" s="2"/>
      <c r="I740" s="2"/>
      <c r="J740" s="3"/>
    </row>
    <row r="741" spans="7:10" x14ac:dyDescent="0.3">
      <c r="G741" s="1"/>
      <c r="H741" s="2"/>
      <c r="I741" s="2"/>
      <c r="J741" s="3"/>
    </row>
    <row r="742" spans="7:10" x14ac:dyDescent="0.3">
      <c r="G742" s="1"/>
      <c r="H742" s="2"/>
      <c r="I742" s="2"/>
      <c r="J742" s="3"/>
    </row>
    <row r="743" spans="7:10" x14ac:dyDescent="0.3">
      <c r="G743" s="1"/>
      <c r="H743" s="2"/>
      <c r="I743" s="2"/>
      <c r="J743" s="3"/>
    </row>
    <row r="744" spans="7:10" x14ac:dyDescent="0.3">
      <c r="G744" s="1"/>
      <c r="H744" s="2"/>
      <c r="I744" s="2"/>
      <c r="J744" s="3"/>
    </row>
    <row r="745" spans="7:10" x14ac:dyDescent="0.3">
      <c r="G745" s="1"/>
      <c r="H745" s="2"/>
      <c r="I745" s="2"/>
      <c r="J745" s="3"/>
    </row>
    <row r="746" spans="7:10" x14ac:dyDescent="0.3">
      <c r="G746" s="1"/>
      <c r="H746" s="2"/>
      <c r="I746" s="2"/>
      <c r="J746" s="3"/>
    </row>
    <row r="747" spans="7:10" x14ac:dyDescent="0.3">
      <c r="G747" s="1"/>
      <c r="H747" s="2"/>
      <c r="I747" s="2"/>
      <c r="J747" s="3"/>
    </row>
    <row r="748" spans="7:10" x14ac:dyDescent="0.3">
      <c r="G748" s="1"/>
      <c r="H748" s="2"/>
      <c r="I748" s="2"/>
      <c r="J748" s="3"/>
    </row>
    <row r="749" spans="7:10" x14ac:dyDescent="0.3">
      <c r="G749" s="1"/>
      <c r="H749" s="2"/>
      <c r="I749" s="2"/>
      <c r="J749" s="3"/>
    </row>
    <row r="750" spans="7:10" x14ac:dyDescent="0.3">
      <c r="G750" s="1"/>
      <c r="H750" s="2"/>
      <c r="I750" s="2"/>
      <c r="J750" s="3"/>
    </row>
    <row r="751" spans="7:10" x14ac:dyDescent="0.3">
      <c r="G751" s="1"/>
      <c r="H751" s="2"/>
      <c r="I751" s="2"/>
      <c r="J751" s="3"/>
    </row>
    <row r="752" spans="7:10" x14ac:dyDescent="0.3">
      <c r="G752" s="1"/>
      <c r="H752" s="2"/>
      <c r="I752" s="2"/>
      <c r="J752" s="3"/>
    </row>
    <row r="753" spans="7:10" x14ac:dyDescent="0.3">
      <c r="G753" s="1"/>
      <c r="H753" s="2"/>
      <c r="I753" s="2"/>
      <c r="J753" s="3"/>
    </row>
    <row r="754" spans="7:10" x14ac:dyDescent="0.3">
      <c r="G754" s="1"/>
      <c r="H754" s="2"/>
      <c r="I754" s="2"/>
      <c r="J754" s="3"/>
    </row>
    <row r="755" spans="7:10" x14ac:dyDescent="0.3">
      <c r="G755" s="1"/>
      <c r="H755" s="2"/>
      <c r="I755" s="2"/>
      <c r="J755" s="3"/>
    </row>
    <row r="756" spans="7:10" x14ac:dyDescent="0.3">
      <c r="G756" s="1"/>
      <c r="H756" s="2"/>
      <c r="I756" s="2"/>
      <c r="J756" s="3"/>
    </row>
    <row r="757" spans="7:10" x14ac:dyDescent="0.3">
      <c r="H757" s="2"/>
      <c r="I757" s="2"/>
      <c r="J757" s="3"/>
    </row>
    <row r="758" spans="7:10" x14ac:dyDescent="0.3">
      <c r="G758" s="1"/>
      <c r="H758" s="2"/>
      <c r="I758" s="2"/>
      <c r="J758" s="3"/>
    </row>
    <row r="759" spans="7:10" x14ac:dyDescent="0.3">
      <c r="G759" s="1"/>
      <c r="H759" s="2"/>
      <c r="I759" s="2"/>
      <c r="J759" s="3"/>
    </row>
    <row r="760" spans="7:10" x14ac:dyDescent="0.3">
      <c r="G760" s="1"/>
      <c r="H760" s="2"/>
      <c r="I760" s="2"/>
      <c r="J760" s="3"/>
    </row>
    <row r="761" spans="7:10" x14ac:dyDescent="0.3">
      <c r="G761" s="1"/>
      <c r="H761" s="2"/>
      <c r="I761" s="2"/>
      <c r="J761" s="3"/>
    </row>
    <row r="762" spans="7:10" x14ac:dyDescent="0.3">
      <c r="G762" s="1"/>
      <c r="H762" s="2"/>
      <c r="I762" s="2"/>
      <c r="J762" s="3"/>
    </row>
    <row r="763" spans="7:10" x14ac:dyDescent="0.3">
      <c r="G763" s="1"/>
      <c r="H763" s="2"/>
      <c r="I763" s="2"/>
      <c r="J763" s="3"/>
    </row>
    <row r="764" spans="7:10" x14ac:dyDescent="0.3">
      <c r="H764" s="2"/>
      <c r="I764" s="2"/>
      <c r="J764" s="3"/>
    </row>
    <row r="765" spans="7:10" x14ac:dyDescent="0.3">
      <c r="G765" s="1"/>
      <c r="H765" s="2"/>
      <c r="I765" s="2"/>
      <c r="J765" s="3"/>
    </row>
    <row r="766" spans="7:10" x14ac:dyDescent="0.3">
      <c r="G766" s="1"/>
      <c r="H766" s="2"/>
      <c r="I766" s="2"/>
      <c r="J766" s="3"/>
    </row>
    <row r="767" spans="7:10" x14ac:dyDescent="0.3">
      <c r="G767" s="1"/>
      <c r="H767" s="2"/>
      <c r="I767" s="2"/>
      <c r="J767" s="3"/>
    </row>
    <row r="768" spans="7:10" x14ac:dyDescent="0.3">
      <c r="G768" s="1"/>
      <c r="H768" s="2"/>
      <c r="I768" s="2"/>
      <c r="J768" s="3"/>
    </row>
    <row r="769" spans="7:10" x14ac:dyDescent="0.3">
      <c r="G769" s="1"/>
      <c r="H769" s="2"/>
      <c r="I769" s="2"/>
      <c r="J769" s="3"/>
    </row>
    <row r="770" spans="7:10" x14ac:dyDescent="0.3">
      <c r="G770" s="1"/>
      <c r="H770" s="2"/>
      <c r="I770" s="2"/>
      <c r="J770" s="3"/>
    </row>
    <row r="771" spans="7:10" x14ac:dyDescent="0.3">
      <c r="G771" s="1"/>
      <c r="H771" s="2"/>
      <c r="I771" s="2"/>
      <c r="J771" s="3"/>
    </row>
    <row r="772" spans="7:10" x14ac:dyDescent="0.3">
      <c r="G772" s="1"/>
      <c r="H772" s="2"/>
      <c r="I772" s="2"/>
      <c r="J772" s="3"/>
    </row>
    <row r="773" spans="7:10" x14ac:dyDescent="0.3">
      <c r="G773" s="1"/>
      <c r="H773" s="2"/>
      <c r="I773" s="2"/>
      <c r="J773" s="3"/>
    </row>
    <row r="774" spans="7:10" x14ac:dyDescent="0.3">
      <c r="G774" s="1"/>
      <c r="H774" s="2"/>
      <c r="I774" s="2"/>
      <c r="J774" s="3"/>
    </row>
    <row r="775" spans="7:10" x14ac:dyDescent="0.3">
      <c r="G775" s="1"/>
      <c r="H775" s="2"/>
      <c r="I775" s="2"/>
      <c r="J775" s="3"/>
    </row>
    <row r="776" spans="7:10" x14ac:dyDescent="0.3">
      <c r="G776" s="1"/>
      <c r="H776" s="2"/>
      <c r="I776" s="2"/>
      <c r="J776" s="3"/>
    </row>
    <row r="777" spans="7:10" x14ac:dyDescent="0.3">
      <c r="G777" s="1"/>
      <c r="H777" s="2"/>
      <c r="I777" s="2"/>
      <c r="J777" s="3"/>
    </row>
    <row r="778" spans="7:10" x14ac:dyDescent="0.3">
      <c r="G778" s="1"/>
      <c r="H778" s="2"/>
      <c r="I778" s="2"/>
      <c r="J778" s="3"/>
    </row>
    <row r="779" spans="7:10" x14ac:dyDescent="0.3">
      <c r="G779" s="1"/>
      <c r="H779" s="2"/>
      <c r="I779" s="2"/>
      <c r="J779" s="3"/>
    </row>
    <row r="780" spans="7:10" x14ac:dyDescent="0.3">
      <c r="G780" s="1"/>
      <c r="H780" s="2"/>
      <c r="I780" s="2"/>
      <c r="J780" s="3"/>
    </row>
    <row r="781" spans="7:10" x14ac:dyDescent="0.3">
      <c r="G781" s="1"/>
      <c r="H781" s="2"/>
      <c r="I781" s="2"/>
      <c r="J781" s="3"/>
    </row>
    <row r="782" spans="7:10" x14ac:dyDescent="0.3">
      <c r="G782" s="1"/>
      <c r="H782" s="2"/>
      <c r="I782" s="2"/>
      <c r="J782" s="3"/>
    </row>
    <row r="783" spans="7:10" x14ac:dyDescent="0.3">
      <c r="G783" s="1"/>
      <c r="H783" s="2"/>
      <c r="I783" s="2"/>
      <c r="J783" s="3"/>
    </row>
    <row r="784" spans="7:10" x14ac:dyDescent="0.3">
      <c r="G784" s="1"/>
      <c r="H784" s="2"/>
      <c r="I784" s="2"/>
      <c r="J784" s="3"/>
    </row>
    <row r="785" spans="7:10" x14ac:dyDescent="0.3">
      <c r="G785" s="1"/>
      <c r="H785" s="2"/>
      <c r="I785" s="2"/>
      <c r="J785" s="3"/>
    </row>
    <row r="786" spans="7:10" x14ac:dyDescent="0.3">
      <c r="G786" s="1"/>
      <c r="H786" s="2"/>
      <c r="I786" s="2"/>
      <c r="J786" s="3"/>
    </row>
    <row r="787" spans="7:10" x14ac:dyDescent="0.3">
      <c r="G787" s="1"/>
      <c r="H787" s="2"/>
      <c r="I787" s="2"/>
      <c r="J787" s="3"/>
    </row>
    <row r="788" spans="7:10" x14ac:dyDescent="0.3">
      <c r="G788" s="1"/>
      <c r="H788" s="2"/>
      <c r="I788" s="2"/>
      <c r="J788" s="3"/>
    </row>
    <row r="789" spans="7:10" x14ac:dyDescent="0.3">
      <c r="G789" s="1"/>
      <c r="H789" s="2"/>
      <c r="I789" s="2"/>
      <c r="J789" s="3"/>
    </row>
    <row r="790" spans="7:10" x14ac:dyDescent="0.3">
      <c r="G790" s="1"/>
      <c r="H790" s="2"/>
      <c r="I790" s="2"/>
      <c r="J790" s="3"/>
    </row>
    <row r="791" spans="7:10" x14ac:dyDescent="0.3">
      <c r="G791" s="1"/>
      <c r="H791" s="2"/>
      <c r="I791" s="2"/>
      <c r="J791" s="3"/>
    </row>
    <row r="792" spans="7:10" x14ac:dyDescent="0.3">
      <c r="G792" s="1"/>
      <c r="H792" s="2"/>
      <c r="I792" s="2"/>
      <c r="J792" s="3"/>
    </row>
    <row r="793" spans="7:10" x14ac:dyDescent="0.3">
      <c r="G793" s="1"/>
      <c r="H793" s="2"/>
      <c r="I793" s="2"/>
      <c r="J793" s="3"/>
    </row>
    <row r="794" spans="7:10" x14ac:dyDescent="0.3">
      <c r="G794" s="1"/>
      <c r="H794" s="2"/>
      <c r="I794" s="2"/>
      <c r="J794" s="3"/>
    </row>
    <row r="795" spans="7:10" x14ac:dyDescent="0.3">
      <c r="G795" s="1"/>
      <c r="H795" s="2"/>
      <c r="I795" s="2"/>
      <c r="J795" s="3"/>
    </row>
    <row r="796" spans="7:10" x14ac:dyDescent="0.3">
      <c r="G796" s="1"/>
      <c r="H796" s="2"/>
      <c r="I796" s="2"/>
      <c r="J796" s="3"/>
    </row>
    <row r="797" spans="7:10" x14ac:dyDescent="0.3">
      <c r="G797" s="1"/>
      <c r="H797" s="2"/>
      <c r="I797" s="2"/>
      <c r="J797" s="3"/>
    </row>
    <row r="798" spans="7:10" x14ac:dyDescent="0.3">
      <c r="G798" s="1"/>
      <c r="H798" s="2"/>
      <c r="I798" s="2"/>
      <c r="J798" s="3"/>
    </row>
    <row r="799" spans="7:10" x14ac:dyDescent="0.3">
      <c r="G799" s="1"/>
      <c r="H799" s="2"/>
      <c r="I799" s="2"/>
      <c r="J799" s="3"/>
    </row>
    <row r="800" spans="7:10" x14ac:dyDescent="0.3">
      <c r="G800" s="1"/>
      <c r="H800" s="2"/>
      <c r="I800" s="2"/>
      <c r="J800" s="3"/>
    </row>
    <row r="801" spans="7:10" x14ac:dyDescent="0.3">
      <c r="G801" s="1"/>
      <c r="H801" s="2"/>
      <c r="I801" s="2"/>
      <c r="J801" s="3"/>
    </row>
    <row r="802" spans="7:10" x14ac:dyDescent="0.3">
      <c r="G802" s="1"/>
      <c r="H802" s="2"/>
      <c r="I802" s="2"/>
      <c r="J802" s="3"/>
    </row>
    <row r="803" spans="7:10" x14ac:dyDescent="0.3">
      <c r="G803" s="1"/>
      <c r="H803" s="2"/>
      <c r="I803" s="2"/>
      <c r="J803" s="3"/>
    </row>
    <row r="804" spans="7:10" x14ac:dyDescent="0.3">
      <c r="G804" s="1"/>
      <c r="H804" s="2"/>
      <c r="I804" s="2"/>
      <c r="J804" s="3"/>
    </row>
    <row r="805" spans="7:10" x14ac:dyDescent="0.3">
      <c r="G805" s="1"/>
      <c r="H805" s="2"/>
      <c r="I805" s="2"/>
      <c r="J805" s="3"/>
    </row>
    <row r="806" spans="7:10" x14ac:dyDescent="0.3">
      <c r="G806" s="1"/>
      <c r="H806" s="2"/>
      <c r="I806" s="2"/>
      <c r="J806" s="3"/>
    </row>
    <row r="807" spans="7:10" x14ac:dyDescent="0.3">
      <c r="G807" s="1"/>
      <c r="H807" s="2"/>
      <c r="I807" s="2"/>
      <c r="J807" s="3"/>
    </row>
    <row r="808" spans="7:10" x14ac:dyDescent="0.3">
      <c r="G808" s="1"/>
      <c r="H808" s="2"/>
      <c r="I808" s="2"/>
      <c r="J808" s="3"/>
    </row>
    <row r="809" spans="7:10" x14ac:dyDescent="0.3">
      <c r="G809" s="1"/>
      <c r="H809" s="2"/>
      <c r="I809" s="2"/>
      <c r="J809" s="3"/>
    </row>
    <row r="810" spans="7:10" x14ac:dyDescent="0.3">
      <c r="G810" s="1"/>
      <c r="H810" s="2"/>
      <c r="I810" s="2"/>
      <c r="J810" s="3"/>
    </row>
    <row r="811" spans="7:10" x14ac:dyDescent="0.3">
      <c r="G811" s="1"/>
      <c r="H811" s="2"/>
      <c r="I811" s="2"/>
      <c r="J811" s="3"/>
    </row>
    <row r="812" spans="7:10" x14ac:dyDescent="0.3">
      <c r="G812" s="1"/>
      <c r="H812" s="2"/>
      <c r="I812" s="2"/>
      <c r="J812" s="3"/>
    </row>
    <row r="813" spans="7:10" x14ac:dyDescent="0.3">
      <c r="G813" s="1"/>
      <c r="H813" s="2"/>
      <c r="I813" s="2"/>
      <c r="J813" s="3"/>
    </row>
    <row r="814" spans="7:10" x14ac:dyDescent="0.3">
      <c r="G814" s="1"/>
      <c r="H814" s="2"/>
      <c r="I814" s="2"/>
      <c r="J814" s="3"/>
    </row>
    <row r="815" spans="7:10" x14ac:dyDescent="0.3">
      <c r="G815" s="1"/>
      <c r="H815" s="2"/>
      <c r="I815" s="2"/>
      <c r="J815" s="3"/>
    </row>
    <row r="816" spans="7:10" x14ac:dyDescent="0.3">
      <c r="G816" s="1"/>
      <c r="H816" s="2"/>
      <c r="I816" s="2"/>
      <c r="J816" s="3"/>
    </row>
    <row r="817" spans="7:10" x14ac:dyDescent="0.3">
      <c r="G817" s="1"/>
      <c r="H817" s="2"/>
      <c r="I817" s="2"/>
      <c r="J817" s="3"/>
    </row>
    <row r="818" spans="7:10" x14ac:dyDescent="0.3">
      <c r="G818" s="1"/>
      <c r="H818" s="2"/>
      <c r="I818" s="2"/>
      <c r="J818" s="3"/>
    </row>
    <row r="819" spans="7:10" x14ac:dyDescent="0.3">
      <c r="G819" s="1"/>
      <c r="H819" s="2"/>
      <c r="I819" s="2"/>
      <c r="J819" s="3"/>
    </row>
    <row r="820" spans="7:10" x14ac:dyDescent="0.3">
      <c r="G820" s="1"/>
      <c r="H820" s="2"/>
      <c r="I820" s="2"/>
      <c r="J820" s="3"/>
    </row>
    <row r="821" spans="7:10" x14ac:dyDescent="0.3">
      <c r="G821" s="1"/>
      <c r="H821" s="2"/>
      <c r="I821" s="2"/>
      <c r="J821" s="3"/>
    </row>
    <row r="822" spans="7:10" x14ac:dyDescent="0.3">
      <c r="G822" s="1"/>
      <c r="H822" s="2"/>
      <c r="I822" s="2"/>
      <c r="J822" s="3"/>
    </row>
    <row r="823" spans="7:10" x14ac:dyDescent="0.3">
      <c r="G823" s="1"/>
      <c r="H823" s="2"/>
      <c r="I823" s="2"/>
      <c r="J823" s="3"/>
    </row>
    <row r="824" spans="7:10" x14ac:dyDescent="0.3">
      <c r="G824" s="1"/>
      <c r="H824" s="2"/>
      <c r="I824" s="2"/>
      <c r="J824" s="3"/>
    </row>
    <row r="825" spans="7:10" x14ac:dyDescent="0.3">
      <c r="G825" s="1"/>
      <c r="H825" s="2"/>
      <c r="I825" s="2"/>
      <c r="J825" s="3"/>
    </row>
    <row r="826" spans="7:10" x14ac:dyDescent="0.3">
      <c r="G826" s="1"/>
      <c r="H826" s="2"/>
      <c r="I826" s="2"/>
      <c r="J826" s="3"/>
    </row>
    <row r="827" spans="7:10" x14ac:dyDescent="0.3">
      <c r="G827" s="1"/>
      <c r="H827" s="2"/>
      <c r="I827" s="2"/>
      <c r="J827" s="3"/>
    </row>
    <row r="828" spans="7:10" x14ac:dyDescent="0.3">
      <c r="G828" s="1"/>
      <c r="H828" s="2"/>
      <c r="I828" s="2"/>
      <c r="J828" s="3"/>
    </row>
    <row r="829" spans="7:10" x14ac:dyDescent="0.3">
      <c r="G829" s="1"/>
      <c r="H829" s="2"/>
      <c r="I829" s="2"/>
      <c r="J829" s="3"/>
    </row>
    <row r="830" spans="7:10" x14ac:dyDescent="0.3">
      <c r="G830" s="1"/>
      <c r="H830" s="2"/>
      <c r="I830" s="2"/>
      <c r="J830" s="3"/>
    </row>
    <row r="831" spans="7:10" x14ac:dyDescent="0.3">
      <c r="G831" s="1"/>
      <c r="H831" s="2"/>
      <c r="I831" s="2"/>
      <c r="J831" s="3"/>
    </row>
    <row r="832" spans="7:10" x14ac:dyDescent="0.3">
      <c r="G832" s="1"/>
      <c r="H832" s="2"/>
      <c r="I832" s="2"/>
      <c r="J832" s="3"/>
    </row>
    <row r="833" spans="7:10" x14ac:dyDescent="0.3">
      <c r="H833" s="2"/>
      <c r="I833" s="2"/>
      <c r="J833" s="3"/>
    </row>
    <row r="834" spans="7:10" x14ac:dyDescent="0.3">
      <c r="G834" s="1"/>
      <c r="H834" s="2"/>
      <c r="I834" s="2"/>
      <c r="J834" s="3"/>
    </row>
    <row r="835" spans="7:10" x14ac:dyDescent="0.3">
      <c r="G835" s="1"/>
      <c r="H835" s="2"/>
      <c r="I835" s="2"/>
      <c r="J835" s="3"/>
    </row>
    <row r="836" spans="7:10" x14ac:dyDescent="0.3">
      <c r="G836" s="1"/>
      <c r="H836" s="2"/>
      <c r="I836" s="2"/>
      <c r="J836" s="3"/>
    </row>
    <row r="837" spans="7:10" x14ac:dyDescent="0.3">
      <c r="G837" s="1"/>
      <c r="H837" s="2"/>
      <c r="I837" s="2"/>
      <c r="J837" s="3"/>
    </row>
    <row r="838" spans="7:10" x14ac:dyDescent="0.3">
      <c r="G838" s="1"/>
      <c r="H838" s="2"/>
      <c r="I838" s="2"/>
      <c r="J838" s="3"/>
    </row>
    <row r="839" spans="7:10" x14ac:dyDescent="0.3">
      <c r="G839" s="1"/>
      <c r="H839" s="2"/>
      <c r="I839" s="2"/>
      <c r="J839" s="3"/>
    </row>
    <row r="840" spans="7:10" x14ac:dyDescent="0.3">
      <c r="G840" s="1"/>
      <c r="H840" s="2"/>
      <c r="I840" s="2"/>
      <c r="J840" s="3"/>
    </row>
    <row r="841" spans="7:10" x14ac:dyDescent="0.3">
      <c r="G841" s="1"/>
      <c r="H841" s="2"/>
      <c r="I841" s="2"/>
      <c r="J841" s="3"/>
    </row>
    <row r="842" spans="7:10" x14ac:dyDescent="0.3">
      <c r="G842" s="1"/>
      <c r="H842" s="2"/>
      <c r="I842" s="2"/>
      <c r="J842" s="3"/>
    </row>
    <row r="843" spans="7:10" x14ac:dyDescent="0.3">
      <c r="G843" s="1"/>
      <c r="H843" s="2"/>
      <c r="I843" s="2"/>
      <c r="J843" s="3"/>
    </row>
    <row r="844" spans="7:10" x14ac:dyDescent="0.3">
      <c r="G844" s="1"/>
      <c r="H844" s="2"/>
      <c r="I844" s="2"/>
      <c r="J844" s="3"/>
    </row>
    <row r="845" spans="7:10" x14ac:dyDescent="0.3">
      <c r="G845" s="1"/>
      <c r="H845" s="2"/>
      <c r="I845" s="2"/>
      <c r="J845" s="3"/>
    </row>
    <row r="846" spans="7:10" x14ac:dyDescent="0.3">
      <c r="G846" s="1"/>
      <c r="H846" s="2"/>
      <c r="I846" s="2"/>
      <c r="J846" s="3"/>
    </row>
    <row r="847" spans="7:10" x14ac:dyDescent="0.3">
      <c r="G847" s="1"/>
      <c r="H847" s="2"/>
      <c r="I847" s="2"/>
      <c r="J847" s="3"/>
    </row>
    <row r="848" spans="7:10" x14ac:dyDescent="0.3">
      <c r="G848" s="1"/>
      <c r="H848" s="2"/>
      <c r="I848" s="2"/>
      <c r="J848" s="3"/>
    </row>
    <row r="849" spans="7:10" x14ac:dyDescent="0.3">
      <c r="G849" s="1"/>
      <c r="H849" s="2"/>
      <c r="I849" s="2"/>
      <c r="J849" s="3"/>
    </row>
    <row r="850" spans="7:10" x14ac:dyDescent="0.3">
      <c r="G850" s="1"/>
      <c r="H850" s="2"/>
      <c r="I850" s="2"/>
      <c r="J850" s="3"/>
    </row>
    <row r="851" spans="7:10" x14ac:dyDescent="0.3">
      <c r="G851" s="1"/>
      <c r="H851" s="2"/>
      <c r="I851" s="2"/>
      <c r="J851" s="3"/>
    </row>
    <row r="852" spans="7:10" x14ac:dyDescent="0.3">
      <c r="G852" s="1"/>
      <c r="H852" s="2"/>
      <c r="I852" s="2"/>
      <c r="J852" s="3"/>
    </row>
    <row r="853" spans="7:10" x14ac:dyDescent="0.3">
      <c r="G853" s="1"/>
      <c r="H853" s="2"/>
      <c r="I853" s="2"/>
      <c r="J853" s="3"/>
    </row>
    <row r="854" spans="7:10" x14ac:dyDescent="0.3">
      <c r="G854" s="1"/>
      <c r="H854" s="2"/>
      <c r="I854" s="2"/>
      <c r="J854" s="3"/>
    </row>
    <row r="855" spans="7:10" x14ac:dyDescent="0.3">
      <c r="G855" s="1"/>
      <c r="H855" s="2"/>
      <c r="I855" s="2"/>
      <c r="J855" s="3"/>
    </row>
    <row r="856" spans="7:10" x14ac:dyDescent="0.3">
      <c r="G856" s="1"/>
      <c r="H856" s="2"/>
      <c r="I856" s="2"/>
      <c r="J856" s="3"/>
    </row>
    <row r="857" spans="7:10" x14ac:dyDescent="0.3">
      <c r="G857" s="1"/>
      <c r="H857" s="2"/>
      <c r="I857" s="2"/>
      <c r="J857" s="3"/>
    </row>
    <row r="858" spans="7:10" x14ac:dyDescent="0.3">
      <c r="G858" s="1"/>
      <c r="H858" s="2"/>
      <c r="I858" s="2"/>
      <c r="J858" s="3"/>
    </row>
    <row r="859" spans="7:10" x14ac:dyDescent="0.3">
      <c r="G859" s="1"/>
      <c r="H859" s="2"/>
      <c r="I859" s="2"/>
      <c r="J859" s="3"/>
    </row>
    <row r="860" spans="7:10" x14ac:dyDescent="0.3">
      <c r="G860" s="1"/>
      <c r="H860" s="2"/>
      <c r="I860" s="2"/>
      <c r="J860" s="3"/>
    </row>
    <row r="861" spans="7:10" x14ac:dyDescent="0.3">
      <c r="G861" s="1"/>
      <c r="H861" s="2"/>
      <c r="I861" s="2"/>
      <c r="J861" s="3"/>
    </row>
    <row r="862" spans="7:10" x14ac:dyDescent="0.3">
      <c r="G862" s="1"/>
      <c r="H862" s="2"/>
      <c r="I862" s="2"/>
      <c r="J862" s="3"/>
    </row>
    <row r="863" spans="7:10" x14ac:dyDescent="0.3">
      <c r="G863" s="1"/>
      <c r="H863" s="2"/>
      <c r="I863" s="2"/>
      <c r="J863" s="3"/>
    </row>
    <row r="864" spans="7:10" x14ac:dyDescent="0.3">
      <c r="G864" s="1"/>
      <c r="H864" s="2"/>
      <c r="I864" s="2"/>
      <c r="J864" s="3"/>
    </row>
    <row r="865" spans="7:10" x14ac:dyDescent="0.3">
      <c r="G865" s="1"/>
      <c r="H865" s="2"/>
      <c r="I865" s="2"/>
      <c r="J865" s="3"/>
    </row>
    <row r="866" spans="7:10" x14ac:dyDescent="0.3">
      <c r="G866" s="1"/>
      <c r="H866" s="2"/>
      <c r="I866" s="2"/>
      <c r="J866" s="3"/>
    </row>
    <row r="867" spans="7:10" x14ac:dyDescent="0.3">
      <c r="G867" s="1"/>
      <c r="H867" s="2"/>
      <c r="I867" s="2"/>
      <c r="J867" s="3"/>
    </row>
    <row r="868" spans="7:10" x14ac:dyDescent="0.3">
      <c r="G868" s="1"/>
      <c r="H868" s="2"/>
      <c r="I868" s="2"/>
      <c r="J868" s="3"/>
    </row>
    <row r="869" spans="7:10" x14ac:dyDescent="0.3">
      <c r="G869" s="1"/>
      <c r="H869" s="2"/>
      <c r="I869" s="2"/>
      <c r="J869" s="3"/>
    </row>
    <row r="870" spans="7:10" x14ac:dyDescent="0.3">
      <c r="G870" s="1"/>
      <c r="H870" s="2"/>
      <c r="I870" s="2"/>
      <c r="J870" s="3"/>
    </row>
    <row r="871" spans="7:10" x14ac:dyDescent="0.3">
      <c r="H871" s="2"/>
      <c r="I871" s="2"/>
      <c r="J871" s="3"/>
    </row>
    <row r="872" spans="7:10" x14ac:dyDescent="0.3">
      <c r="G872" s="1"/>
      <c r="H872" s="2"/>
      <c r="I872" s="2"/>
      <c r="J872" s="3"/>
    </row>
    <row r="873" spans="7:10" x14ac:dyDescent="0.3">
      <c r="G873" s="1"/>
      <c r="H873" s="2"/>
      <c r="I873" s="2"/>
      <c r="J873" s="3"/>
    </row>
    <row r="874" spans="7:10" x14ac:dyDescent="0.3">
      <c r="G874" s="1"/>
      <c r="H874" s="2"/>
      <c r="I874" s="2"/>
      <c r="J874" s="3"/>
    </row>
    <row r="875" spans="7:10" x14ac:dyDescent="0.3">
      <c r="G875" s="1"/>
      <c r="H875" s="2"/>
      <c r="I875" s="2"/>
      <c r="J875" s="3"/>
    </row>
    <row r="876" spans="7:10" x14ac:dyDescent="0.3">
      <c r="G876" s="1"/>
      <c r="H876" s="2"/>
      <c r="I876" s="2"/>
      <c r="J876" s="3"/>
    </row>
    <row r="877" spans="7:10" x14ac:dyDescent="0.3">
      <c r="G877" s="1"/>
      <c r="H877" s="2"/>
      <c r="I877" s="2"/>
      <c r="J877" s="3"/>
    </row>
    <row r="878" spans="7:10" x14ac:dyDescent="0.3">
      <c r="G878" s="1"/>
      <c r="H878" s="2"/>
      <c r="I878" s="2"/>
      <c r="J878" s="3"/>
    </row>
    <row r="879" spans="7:10" x14ac:dyDescent="0.3">
      <c r="G879" s="1"/>
      <c r="H879" s="2"/>
      <c r="I879" s="2"/>
      <c r="J879" s="3"/>
    </row>
    <row r="880" spans="7:10" x14ac:dyDescent="0.3">
      <c r="G880" s="1"/>
      <c r="H880" s="2"/>
      <c r="I880" s="2"/>
      <c r="J880" s="3"/>
    </row>
    <row r="881" spans="7:10" x14ac:dyDescent="0.3">
      <c r="G881" s="1"/>
      <c r="H881" s="2"/>
      <c r="I881" s="2"/>
      <c r="J881" s="3"/>
    </row>
    <row r="882" spans="7:10" x14ac:dyDescent="0.3">
      <c r="G882" s="1"/>
      <c r="H882" s="2"/>
      <c r="I882" s="2"/>
      <c r="J882" s="3"/>
    </row>
    <row r="883" spans="7:10" x14ac:dyDescent="0.3">
      <c r="G883" s="1"/>
      <c r="H883" s="2"/>
      <c r="I883" s="2"/>
      <c r="J883" s="3"/>
    </row>
    <row r="884" spans="7:10" x14ac:dyDescent="0.3">
      <c r="H884" s="2"/>
      <c r="I884" s="2"/>
      <c r="J884" s="3"/>
    </row>
    <row r="885" spans="7:10" x14ac:dyDescent="0.3">
      <c r="G885" s="1"/>
      <c r="H885" s="2"/>
      <c r="I885" s="2"/>
      <c r="J885" s="3"/>
    </row>
    <row r="886" spans="7:10" x14ac:dyDescent="0.3">
      <c r="G886" s="1"/>
      <c r="H886" s="2"/>
      <c r="I886" s="2"/>
      <c r="J886" s="3"/>
    </row>
    <row r="887" spans="7:10" x14ac:dyDescent="0.3">
      <c r="G887" s="1"/>
      <c r="H887" s="2"/>
      <c r="I887" s="2"/>
      <c r="J887" s="3"/>
    </row>
    <row r="888" spans="7:10" x14ac:dyDescent="0.3">
      <c r="G888" s="1"/>
      <c r="H888" s="2"/>
      <c r="I888" s="2"/>
      <c r="J888" s="3"/>
    </row>
    <row r="889" spans="7:10" x14ac:dyDescent="0.3">
      <c r="G889" s="1"/>
      <c r="H889" s="2"/>
      <c r="I889" s="2"/>
      <c r="J889" s="3"/>
    </row>
    <row r="890" spans="7:10" x14ac:dyDescent="0.3">
      <c r="G890" s="1"/>
      <c r="H890" s="2"/>
      <c r="I890" s="2"/>
      <c r="J890" s="3"/>
    </row>
    <row r="891" spans="7:10" x14ac:dyDescent="0.3">
      <c r="G891" s="1"/>
      <c r="H891" s="2"/>
      <c r="I891" s="2"/>
      <c r="J891" s="3"/>
    </row>
    <row r="892" spans="7:10" x14ac:dyDescent="0.3">
      <c r="G892" s="1"/>
      <c r="H892" s="2"/>
      <c r="I892" s="2"/>
      <c r="J892" s="3"/>
    </row>
    <row r="893" spans="7:10" x14ac:dyDescent="0.3">
      <c r="G893" s="1"/>
      <c r="H893" s="2"/>
      <c r="I893" s="2"/>
      <c r="J893" s="3"/>
    </row>
    <row r="894" spans="7:10" x14ac:dyDescent="0.3">
      <c r="G894" s="1"/>
      <c r="H894" s="2"/>
      <c r="I894" s="2"/>
      <c r="J894" s="3"/>
    </row>
    <row r="895" spans="7:10" x14ac:dyDescent="0.3">
      <c r="G895" s="1"/>
      <c r="H895" s="2"/>
      <c r="I895" s="2"/>
      <c r="J895" s="3"/>
    </row>
    <row r="896" spans="7:10" x14ac:dyDescent="0.3">
      <c r="G896" s="1"/>
      <c r="H896" s="2"/>
      <c r="I896" s="2"/>
      <c r="J896" s="3"/>
    </row>
    <row r="897" spans="7:10" x14ac:dyDescent="0.3">
      <c r="G897" s="1"/>
      <c r="H897" s="2"/>
      <c r="I897" s="2"/>
      <c r="J897" s="3"/>
    </row>
    <row r="898" spans="7:10" x14ac:dyDescent="0.3">
      <c r="G898" s="1"/>
      <c r="H898" s="2"/>
      <c r="I898" s="2"/>
      <c r="J898" s="3"/>
    </row>
    <row r="899" spans="7:10" x14ac:dyDescent="0.3">
      <c r="G899" s="1"/>
      <c r="H899" s="2"/>
      <c r="I899" s="2"/>
      <c r="J899" s="3"/>
    </row>
    <row r="900" spans="7:10" x14ac:dyDescent="0.3">
      <c r="G900" s="1"/>
      <c r="H900" s="2"/>
      <c r="I900" s="2"/>
      <c r="J900" s="3"/>
    </row>
    <row r="901" spans="7:10" x14ac:dyDescent="0.3">
      <c r="G901" s="1"/>
      <c r="H901" s="2"/>
      <c r="I901" s="2"/>
      <c r="J901" s="3"/>
    </row>
    <row r="902" spans="7:10" x14ac:dyDescent="0.3">
      <c r="G902" s="1"/>
      <c r="H902" s="2"/>
      <c r="I902" s="2"/>
      <c r="J902" s="3"/>
    </row>
    <row r="903" spans="7:10" x14ac:dyDescent="0.3">
      <c r="H903" s="2"/>
      <c r="I903" s="2"/>
      <c r="J903" s="3"/>
    </row>
    <row r="904" spans="7:10" x14ac:dyDescent="0.3">
      <c r="G904" s="1"/>
      <c r="H904" s="2"/>
      <c r="I904" s="2"/>
      <c r="J904" s="3"/>
    </row>
    <row r="905" spans="7:10" x14ac:dyDescent="0.3">
      <c r="G905" s="1"/>
      <c r="H905" s="2"/>
      <c r="I905" s="2"/>
      <c r="J905" s="3"/>
    </row>
    <row r="906" spans="7:10" x14ac:dyDescent="0.3">
      <c r="G906" s="1"/>
      <c r="H906" s="2"/>
      <c r="I906" s="2"/>
      <c r="J906" s="3"/>
    </row>
    <row r="907" spans="7:10" x14ac:dyDescent="0.3">
      <c r="G907" s="1"/>
      <c r="H907" s="2"/>
      <c r="I907" s="2"/>
      <c r="J907" s="3"/>
    </row>
    <row r="908" spans="7:10" x14ac:dyDescent="0.3">
      <c r="G908" s="1"/>
      <c r="H908" s="2"/>
      <c r="I908" s="2"/>
      <c r="J908" s="3"/>
    </row>
    <row r="909" spans="7:10" x14ac:dyDescent="0.3">
      <c r="G909" s="1"/>
      <c r="H909" s="2"/>
      <c r="I909" s="2"/>
      <c r="J909" s="3"/>
    </row>
    <row r="910" spans="7:10" x14ac:dyDescent="0.3">
      <c r="G910" s="1"/>
      <c r="H910" s="2"/>
      <c r="I910" s="2"/>
      <c r="J910" s="3"/>
    </row>
    <row r="911" spans="7:10" x14ac:dyDescent="0.3">
      <c r="G911" s="1"/>
      <c r="H911" s="2"/>
      <c r="I911" s="2"/>
      <c r="J911" s="3"/>
    </row>
    <row r="912" spans="7:10" x14ac:dyDescent="0.3">
      <c r="G912" s="1"/>
      <c r="H912" s="2"/>
      <c r="I912" s="2"/>
      <c r="J912" s="3"/>
    </row>
    <row r="913" spans="7:10" x14ac:dyDescent="0.3">
      <c r="G913" s="1"/>
      <c r="H913" s="2"/>
      <c r="I913" s="2"/>
      <c r="J913" s="3"/>
    </row>
    <row r="914" spans="7:10" x14ac:dyDescent="0.3">
      <c r="G914" s="1"/>
      <c r="H914" s="2"/>
      <c r="I914" s="2"/>
      <c r="J914" s="3"/>
    </row>
    <row r="915" spans="7:10" x14ac:dyDescent="0.3">
      <c r="G915" s="1"/>
      <c r="H915" s="2"/>
      <c r="I915" s="2"/>
      <c r="J915" s="3"/>
    </row>
    <row r="916" spans="7:10" x14ac:dyDescent="0.3">
      <c r="G916" s="1"/>
      <c r="H916" s="2"/>
      <c r="I916" s="2"/>
      <c r="J916" s="3"/>
    </row>
    <row r="917" spans="7:10" x14ac:dyDescent="0.3">
      <c r="G917" s="1"/>
      <c r="H917" s="2"/>
      <c r="I917" s="2"/>
      <c r="J917" s="3"/>
    </row>
    <row r="918" spans="7:10" x14ac:dyDescent="0.3">
      <c r="G918" s="1"/>
      <c r="H918" s="2"/>
      <c r="I918" s="2"/>
      <c r="J918" s="3"/>
    </row>
    <row r="919" spans="7:10" x14ac:dyDescent="0.3">
      <c r="H919" s="2"/>
      <c r="I919" s="2"/>
      <c r="J919" s="3"/>
    </row>
    <row r="920" spans="7:10" x14ac:dyDescent="0.3">
      <c r="G920" s="1"/>
      <c r="H920" s="2"/>
      <c r="I920" s="2"/>
      <c r="J920" s="3"/>
    </row>
    <row r="921" spans="7:10" x14ac:dyDescent="0.3">
      <c r="G921" s="1"/>
      <c r="H921" s="2"/>
      <c r="I921" s="2"/>
      <c r="J921" s="3"/>
    </row>
    <row r="922" spans="7:10" x14ac:dyDescent="0.3">
      <c r="G922" s="1"/>
      <c r="H922" s="2"/>
      <c r="I922" s="2"/>
      <c r="J922" s="3"/>
    </row>
    <row r="923" spans="7:10" x14ac:dyDescent="0.3">
      <c r="G923" s="1"/>
      <c r="H923" s="2"/>
      <c r="I923" s="2"/>
      <c r="J923" s="3"/>
    </row>
    <row r="924" spans="7:10" x14ac:dyDescent="0.3">
      <c r="G924" s="1"/>
      <c r="H924" s="2"/>
      <c r="I924" s="2"/>
      <c r="J924" s="3"/>
    </row>
    <row r="925" spans="7:10" x14ac:dyDescent="0.3">
      <c r="G925" s="1"/>
      <c r="H925" s="2"/>
      <c r="I925" s="2"/>
      <c r="J925" s="3"/>
    </row>
    <row r="926" spans="7:10" x14ac:dyDescent="0.3">
      <c r="G926" s="1"/>
      <c r="H926" s="2"/>
      <c r="I926" s="2"/>
      <c r="J926" s="3"/>
    </row>
    <row r="927" spans="7:10" x14ac:dyDescent="0.3">
      <c r="G927" s="1"/>
      <c r="H927" s="2"/>
      <c r="I927" s="2"/>
      <c r="J927" s="3"/>
    </row>
    <row r="928" spans="7:10" x14ac:dyDescent="0.3">
      <c r="G928" s="1"/>
      <c r="H928" s="2"/>
      <c r="I928" s="2"/>
      <c r="J928" s="3"/>
    </row>
    <row r="929" spans="7:10" x14ac:dyDescent="0.3">
      <c r="G929" s="1"/>
      <c r="H929" s="2"/>
      <c r="I929" s="2"/>
      <c r="J929" s="3"/>
    </row>
    <row r="930" spans="7:10" x14ac:dyDescent="0.3">
      <c r="G930" s="1"/>
      <c r="H930" s="2"/>
      <c r="I930" s="2"/>
      <c r="J930" s="3"/>
    </row>
    <row r="931" spans="7:10" x14ac:dyDescent="0.3">
      <c r="G931" s="1"/>
      <c r="H931" s="2"/>
      <c r="I931" s="2"/>
      <c r="J931" s="3"/>
    </row>
    <row r="932" spans="7:10" x14ac:dyDescent="0.3">
      <c r="G932" s="1"/>
      <c r="H932" s="2"/>
      <c r="I932" s="2"/>
      <c r="J932" s="3"/>
    </row>
    <row r="933" spans="7:10" x14ac:dyDescent="0.3">
      <c r="G933" s="1"/>
      <c r="H933" s="2"/>
      <c r="I933" s="2"/>
      <c r="J933" s="3"/>
    </row>
    <row r="934" spans="7:10" x14ac:dyDescent="0.3">
      <c r="G934" s="1"/>
      <c r="H934" s="2"/>
      <c r="I934" s="2"/>
      <c r="J934" s="3"/>
    </row>
    <row r="935" spans="7:10" x14ac:dyDescent="0.3">
      <c r="G935" s="1"/>
      <c r="H935" s="2"/>
      <c r="I935" s="2"/>
      <c r="J935" s="3"/>
    </row>
    <row r="936" spans="7:10" x14ac:dyDescent="0.3">
      <c r="G936" s="1"/>
      <c r="H936" s="2"/>
      <c r="I936" s="2"/>
      <c r="J936" s="3"/>
    </row>
    <row r="937" spans="7:10" x14ac:dyDescent="0.3">
      <c r="G937" s="1"/>
      <c r="H937" s="2"/>
      <c r="I937" s="2"/>
      <c r="J937" s="3"/>
    </row>
    <row r="938" spans="7:10" x14ac:dyDescent="0.3">
      <c r="G938" s="1"/>
      <c r="H938" s="2"/>
      <c r="I938" s="2"/>
      <c r="J938" s="3"/>
    </row>
    <row r="939" spans="7:10" x14ac:dyDescent="0.3">
      <c r="G939" s="1"/>
      <c r="H939" s="2"/>
      <c r="I939" s="2"/>
      <c r="J939" s="3"/>
    </row>
    <row r="940" spans="7:10" x14ac:dyDescent="0.3">
      <c r="G940" s="1"/>
      <c r="H940" s="2"/>
      <c r="I940" s="2"/>
      <c r="J940" s="3"/>
    </row>
    <row r="941" spans="7:10" x14ac:dyDescent="0.3">
      <c r="G941" s="1"/>
      <c r="H941" s="2"/>
      <c r="I941" s="2"/>
      <c r="J941" s="3"/>
    </row>
    <row r="942" spans="7:10" x14ac:dyDescent="0.3">
      <c r="G942" s="1"/>
      <c r="H942" s="2"/>
      <c r="I942" s="2"/>
      <c r="J942" s="3"/>
    </row>
    <row r="943" spans="7:10" x14ac:dyDescent="0.3">
      <c r="G943" s="1"/>
      <c r="H943" s="2"/>
      <c r="I943" s="2"/>
      <c r="J943" s="3"/>
    </row>
    <row r="944" spans="7:10" x14ac:dyDescent="0.3">
      <c r="G944" s="1"/>
      <c r="H944" s="2"/>
      <c r="I944" s="2"/>
      <c r="J944" s="3"/>
    </row>
    <row r="945" spans="7:10" x14ac:dyDescent="0.3">
      <c r="G945" s="1"/>
      <c r="H945" s="2"/>
      <c r="I945" s="2"/>
      <c r="J945" s="3"/>
    </row>
    <row r="946" spans="7:10" x14ac:dyDescent="0.3">
      <c r="G946" s="1"/>
      <c r="H946" s="2"/>
      <c r="I946" s="2"/>
      <c r="J946" s="3"/>
    </row>
    <row r="947" spans="7:10" x14ac:dyDescent="0.3">
      <c r="G947" s="1"/>
      <c r="H947" s="2"/>
      <c r="I947" s="2"/>
      <c r="J947" s="3"/>
    </row>
    <row r="948" spans="7:10" x14ac:dyDescent="0.3">
      <c r="G948" s="1"/>
      <c r="H948" s="2"/>
      <c r="I948" s="2"/>
      <c r="J948" s="3"/>
    </row>
    <row r="949" spans="7:10" x14ac:dyDescent="0.3">
      <c r="G949" s="1"/>
      <c r="H949" s="2"/>
      <c r="I949" s="2"/>
      <c r="J949" s="3"/>
    </row>
    <row r="950" spans="7:10" x14ac:dyDescent="0.3">
      <c r="G950" s="1"/>
      <c r="H950" s="2"/>
      <c r="I950" s="2"/>
      <c r="J950" s="3"/>
    </row>
    <row r="951" spans="7:10" x14ac:dyDescent="0.3">
      <c r="G951" s="1"/>
      <c r="H951" s="2"/>
      <c r="I951" s="2"/>
      <c r="J951" s="3"/>
    </row>
    <row r="952" spans="7:10" x14ac:dyDescent="0.3">
      <c r="G952" s="1"/>
      <c r="H952" s="2"/>
      <c r="I952" s="2"/>
      <c r="J952" s="3"/>
    </row>
    <row r="953" spans="7:10" x14ac:dyDescent="0.3">
      <c r="G953" s="1"/>
      <c r="H953" s="2"/>
      <c r="I953" s="2"/>
      <c r="J953" s="3"/>
    </row>
    <row r="954" spans="7:10" x14ac:dyDescent="0.3">
      <c r="G954" s="1"/>
      <c r="H954" s="2"/>
      <c r="I954" s="2"/>
      <c r="J954" s="3"/>
    </row>
    <row r="955" spans="7:10" x14ac:dyDescent="0.3">
      <c r="G955" s="1"/>
      <c r="H955" s="2"/>
      <c r="I955" s="2"/>
      <c r="J955" s="3"/>
    </row>
    <row r="956" spans="7:10" x14ac:dyDescent="0.3">
      <c r="G956" s="1"/>
      <c r="H956" s="2"/>
      <c r="I956" s="2"/>
      <c r="J956" s="3"/>
    </row>
    <row r="957" spans="7:10" x14ac:dyDescent="0.3">
      <c r="G957" s="1"/>
      <c r="H957" s="2"/>
      <c r="I957" s="2"/>
      <c r="J957" s="3"/>
    </row>
    <row r="958" spans="7:10" x14ac:dyDescent="0.3">
      <c r="G958" s="1"/>
      <c r="H958" s="2"/>
      <c r="I958" s="2"/>
      <c r="J958" s="3"/>
    </row>
    <row r="959" spans="7:10" x14ac:dyDescent="0.3">
      <c r="G959" s="1"/>
      <c r="H959" s="2"/>
      <c r="I959" s="2"/>
      <c r="J959" s="3"/>
    </row>
    <row r="960" spans="7:10" x14ac:dyDescent="0.3">
      <c r="G960" s="1"/>
      <c r="H960" s="2"/>
      <c r="I960" s="2"/>
      <c r="J960" s="3"/>
    </row>
    <row r="961" spans="7:10" x14ac:dyDescent="0.3">
      <c r="G961" s="1"/>
      <c r="H961" s="2"/>
      <c r="I961" s="2"/>
      <c r="J961" s="3"/>
    </row>
    <row r="962" spans="7:10" x14ac:dyDescent="0.3">
      <c r="G962" s="1"/>
      <c r="H962" s="2"/>
      <c r="I962" s="2"/>
      <c r="J962" s="3"/>
    </row>
    <row r="963" spans="7:10" x14ac:dyDescent="0.3">
      <c r="G963" s="1"/>
      <c r="H963" s="2"/>
      <c r="I963" s="2"/>
      <c r="J963" s="3"/>
    </row>
    <row r="964" spans="7:10" x14ac:dyDescent="0.3">
      <c r="G964" s="1"/>
      <c r="H964" s="2"/>
      <c r="I964" s="2"/>
      <c r="J964" s="3"/>
    </row>
    <row r="965" spans="7:10" x14ac:dyDescent="0.3">
      <c r="G965" s="1"/>
      <c r="H965" s="2"/>
      <c r="I965" s="2"/>
      <c r="J965" s="3"/>
    </row>
    <row r="966" spans="7:10" x14ac:dyDescent="0.3">
      <c r="G966" s="1"/>
      <c r="H966" s="2"/>
      <c r="I966" s="2"/>
      <c r="J966" s="3"/>
    </row>
    <row r="967" spans="7:10" x14ac:dyDescent="0.3">
      <c r="G967" s="1"/>
      <c r="H967" s="2"/>
      <c r="I967" s="2"/>
      <c r="J967" s="3"/>
    </row>
    <row r="968" spans="7:10" x14ac:dyDescent="0.3">
      <c r="G968" s="1"/>
      <c r="H968" s="2"/>
      <c r="I968" s="2"/>
      <c r="J968" s="3"/>
    </row>
    <row r="969" spans="7:10" x14ac:dyDescent="0.3">
      <c r="G969" s="1"/>
      <c r="H969" s="2"/>
      <c r="I969" s="2"/>
      <c r="J969" s="3"/>
    </row>
    <row r="970" spans="7:10" x14ac:dyDescent="0.3">
      <c r="G970" s="1"/>
      <c r="H970" s="2"/>
      <c r="I970" s="2"/>
      <c r="J970" s="3"/>
    </row>
    <row r="971" spans="7:10" x14ac:dyDescent="0.3">
      <c r="G971" s="1"/>
      <c r="H971" s="2"/>
      <c r="I971" s="2"/>
      <c r="J971" s="3"/>
    </row>
    <row r="972" spans="7:10" x14ac:dyDescent="0.3">
      <c r="G972" s="1"/>
      <c r="H972" s="2"/>
      <c r="I972" s="2"/>
      <c r="J972" s="3"/>
    </row>
    <row r="973" spans="7:10" x14ac:dyDescent="0.3">
      <c r="G973" s="1"/>
      <c r="H973" s="2"/>
      <c r="I973" s="2"/>
      <c r="J973" s="3"/>
    </row>
    <row r="974" spans="7:10" x14ac:dyDescent="0.3">
      <c r="G974" s="1"/>
      <c r="H974" s="2"/>
      <c r="I974" s="2"/>
      <c r="J974" s="3"/>
    </row>
    <row r="975" spans="7:10" x14ac:dyDescent="0.3">
      <c r="G975" s="1"/>
      <c r="H975" s="2"/>
      <c r="I975" s="2"/>
      <c r="J975" s="3"/>
    </row>
    <row r="976" spans="7:10" x14ac:dyDescent="0.3">
      <c r="G976" s="1"/>
      <c r="H976" s="2"/>
      <c r="I976" s="2"/>
      <c r="J976" s="3"/>
    </row>
    <row r="977" spans="7:10" x14ac:dyDescent="0.3">
      <c r="G977" s="1"/>
      <c r="H977" s="2"/>
      <c r="I977" s="2"/>
      <c r="J977" s="3"/>
    </row>
    <row r="978" spans="7:10" x14ac:dyDescent="0.3">
      <c r="G978" s="1"/>
      <c r="H978" s="2"/>
      <c r="I978" s="2"/>
      <c r="J978" s="3"/>
    </row>
    <row r="979" spans="7:10" x14ac:dyDescent="0.3">
      <c r="G979" s="1"/>
      <c r="H979" s="2"/>
      <c r="I979" s="2"/>
      <c r="J979" s="3"/>
    </row>
    <row r="980" spans="7:10" x14ac:dyDescent="0.3">
      <c r="G980" s="1"/>
      <c r="H980" s="2"/>
      <c r="I980" s="2"/>
      <c r="J980" s="3"/>
    </row>
    <row r="981" spans="7:10" x14ac:dyDescent="0.3">
      <c r="G981" s="1"/>
      <c r="H981" s="2"/>
      <c r="I981" s="2"/>
      <c r="J981" s="3"/>
    </row>
    <row r="982" spans="7:10" x14ac:dyDescent="0.3">
      <c r="G982" s="1"/>
      <c r="H982" s="2"/>
      <c r="I982" s="2"/>
      <c r="J982" s="3"/>
    </row>
    <row r="983" spans="7:10" x14ac:dyDescent="0.3">
      <c r="G983" s="1"/>
      <c r="H983" s="2"/>
      <c r="I983" s="2"/>
      <c r="J983" s="3"/>
    </row>
    <row r="984" spans="7:10" x14ac:dyDescent="0.3">
      <c r="G984" s="1"/>
      <c r="H984" s="2"/>
      <c r="I984" s="2"/>
      <c r="J984" s="3"/>
    </row>
    <row r="985" spans="7:10" x14ac:dyDescent="0.3">
      <c r="G985" s="1"/>
      <c r="H985" s="2"/>
      <c r="I985" s="2"/>
      <c r="J985" s="3"/>
    </row>
    <row r="986" spans="7:10" x14ac:dyDescent="0.3">
      <c r="G986" s="1"/>
      <c r="H986" s="2"/>
      <c r="I986" s="2"/>
      <c r="J986" s="3"/>
    </row>
    <row r="987" spans="7:10" x14ac:dyDescent="0.3">
      <c r="G987" s="1"/>
      <c r="H987" s="2"/>
      <c r="I987" s="2"/>
      <c r="J987" s="3"/>
    </row>
    <row r="988" spans="7:10" x14ac:dyDescent="0.3">
      <c r="G988" s="1"/>
      <c r="H988" s="2"/>
      <c r="I988" s="2"/>
      <c r="J988" s="3"/>
    </row>
    <row r="989" spans="7:10" x14ac:dyDescent="0.3">
      <c r="G989" s="1"/>
      <c r="H989" s="2"/>
      <c r="I989" s="2"/>
      <c r="J989" s="3"/>
    </row>
    <row r="990" spans="7:10" x14ac:dyDescent="0.3">
      <c r="G990" s="1"/>
      <c r="H990" s="2"/>
      <c r="I990" s="2"/>
      <c r="J990" s="3"/>
    </row>
    <row r="991" spans="7:10" x14ac:dyDescent="0.3">
      <c r="G991" s="1"/>
      <c r="H991" s="2"/>
      <c r="I991" s="2"/>
      <c r="J991" s="3"/>
    </row>
    <row r="992" spans="7:10" x14ac:dyDescent="0.3">
      <c r="H992" s="2"/>
      <c r="I992" s="2"/>
      <c r="J992" s="3"/>
    </row>
    <row r="993" spans="7:10" x14ac:dyDescent="0.3">
      <c r="G993" s="1"/>
      <c r="H993" s="2"/>
      <c r="I993" s="2"/>
      <c r="J993" s="3"/>
    </row>
    <row r="994" spans="7:10" x14ac:dyDescent="0.3">
      <c r="G994" s="1"/>
      <c r="H994" s="2"/>
      <c r="I994" s="2"/>
      <c r="J994" s="3"/>
    </row>
    <row r="995" spans="7:10" x14ac:dyDescent="0.3">
      <c r="G995" s="1"/>
      <c r="H995" s="2"/>
      <c r="I995" s="2"/>
      <c r="J995" s="3"/>
    </row>
    <row r="996" spans="7:10" x14ac:dyDescent="0.3">
      <c r="G996" s="1"/>
      <c r="H996" s="2"/>
      <c r="I996" s="2"/>
      <c r="J996" s="3"/>
    </row>
    <row r="997" spans="7:10" x14ac:dyDescent="0.3">
      <c r="G997" s="1"/>
      <c r="H997" s="2"/>
      <c r="I997" s="2"/>
      <c r="J997" s="3"/>
    </row>
    <row r="998" spans="7:10" x14ac:dyDescent="0.3">
      <c r="G998" s="1"/>
      <c r="H998" s="2"/>
      <c r="I998" s="2"/>
      <c r="J998" s="3"/>
    </row>
    <row r="999" spans="7:10" x14ac:dyDescent="0.3">
      <c r="G999" s="1"/>
      <c r="H999" s="2"/>
      <c r="I999" s="2"/>
      <c r="J999" s="3"/>
    </row>
    <row r="1000" spans="7:10" x14ac:dyDescent="0.3">
      <c r="G1000" s="1"/>
      <c r="H1000" s="2"/>
      <c r="I1000" s="2"/>
      <c r="J1000" s="3"/>
    </row>
    <row r="1001" spans="7:10" x14ac:dyDescent="0.3">
      <c r="G1001" s="1"/>
      <c r="H1001" s="2"/>
      <c r="I1001" s="2"/>
      <c r="J1001" s="3"/>
    </row>
    <row r="1002" spans="7:10" x14ac:dyDescent="0.3">
      <c r="G1002" s="1"/>
      <c r="H1002" s="2"/>
      <c r="I1002" s="2"/>
      <c r="J1002" s="3"/>
    </row>
  </sheetData>
  <conditionalFormatting sqref="C1">
    <cfRule type="duplicateValues" dxfId="1" priority="2"/>
  </conditionalFormatting>
  <conditionalFormatting sqref="C1:C246">
    <cfRule type="duplicateValues" dxfId="0" priority="1"/>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F22B-DC0D-4D24-B6D5-6BB74255E1B4}">
  <dimension ref="A3:C6"/>
  <sheetViews>
    <sheetView workbookViewId="0">
      <selection activeCell="B7" sqref="B7"/>
    </sheetView>
  </sheetViews>
  <sheetFormatPr defaultRowHeight="14.4" x14ac:dyDescent="0.3"/>
  <cols>
    <col min="1" max="1" width="24.109375" bestFit="1" customWidth="1"/>
    <col min="3" max="3" width="21" bestFit="1" customWidth="1"/>
  </cols>
  <sheetData>
    <row r="3" spans="1:3" x14ac:dyDescent="0.3">
      <c r="A3" s="14" t="s">
        <v>538</v>
      </c>
      <c r="B3" s="14" t="s">
        <v>539</v>
      </c>
      <c r="C3" s="14" t="s">
        <v>540</v>
      </c>
    </row>
    <row r="4" spans="1:3" x14ac:dyDescent="0.3">
      <c r="A4" t="s">
        <v>541</v>
      </c>
      <c r="B4">
        <v>9</v>
      </c>
      <c r="C4" t="s">
        <v>542</v>
      </c>
    </row>
    <row r="5" spans="1:3" x14ac:dyDescent="0.3">
      <c r="A5" t="s">
        <v>543</v>
      </c>
      <c r="B5">
        <v>4</v>
      </c>
      <c r="C5" t="s">
        <v>544</v>
      </c>
    </row>
    <row r="6" spans="1:3" x14ac:dyDescent="0.3">
      <c r="A6" t="s">
        <v>545</v>
      </c>
      <c r="B6">
        <v>4</v>
      </c>
      <c r="C6" t="s">
        <v>544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9FBB-2E43-4F5B-B3DC-26F4F5DAB759}">
  <dimension ref="A1:AJ64"/>
  <sheetViews>
    <sheetView tabSelected="1" zoomScale="58" zoomScaleNormal="58" workbookViewId="0">
      <selection activeCell="S43" sqref="S42:S43"/>
    </sheetView>
  </sheetViews>
  <sheetFormatPr defaultRowHeight="14.4" x14ac:dyDescent="0.3"/>
  <sheetData>
    <row r="1" spans="1:36" ht="21" x14ac:dyDescent="0.4">
      <c r="A1" s="10" t="s">
        <v>535</v>
      </c>
      <c r="B1" s="10"/>
      <c r="C1" s="10"/>
      <c r="D1" s="10"/>
      <c r="E1" s="10"/>
      <c r="F1" s="10"/>
      <c r="G1" s="10"/>
      <c r="H1" s="10"/>
      <c r="I1" s="10"/>
      <c r="J1" s="10"/>
      <c r="K1" s="10"/>
      <c r="L1" s="10"/>
      <c r="M1" s="10"/>
      <c r="N1" s="10"/>
      <c r="O1" s="10"/>
      <c r="P1" s="10"/>
      <c r="Q1" s="10"/>
      <c r="R1" s="10"/>
      <c r="S1" s="13"/>
      <c r="T1" s="13"/>
      <c r="U1" s="13"/>
      <c r="V1" s="13"/>
      <c r="W1" s="13"/>
      <c r="X1" s="13"/>
      <c r="Y1" s="13"/>
      <c r="Z1" s="13"/>
      <c r="AA1" s="13"/>
      <c r="AB1" s="13"/>
      <c r="AC1" s="13"/>
      <c r="AD1" s="13"/>
      <c r="AE1" s="13"/>
      <c r="AF1" s="13"/>
      <c r="AG1" s="13"/>
      <c r="AH1" s="13"/>
      <c r="AI1" s="13"/>
      <c r="AJ1" s="13"/>
    </row>
    <row r="2" spans="1:36" ht="18" x14ac:dyDescent="0.35">
      <c r="A2" s="11" t="s">
        <v>536</v>
      </c>
      <c r="B2" s="12"/>
      <c r="C2" s="12"/>
      <c r="D2" s="12"/>
      <c r="E2" s="12"/>
      <c r="F2" s="12"/>
      <c r="G2" s="12"/>
      <c r="H2" s="12"/>
      <c r="I2" s="12"/>
      <c r="J2" s="12"/>
      <c r="K2" s="12"/>
      <c r="L2" s="12"/>
      <c r="M2" s="12"/>
      <c r="N2" s="12"/>
      <c r="O2" s="12"/>
      <c r="P2" s="12"/>
      <c r="Q2" s="12"/>
      <c r="R2" s="12"/>
      <c r="S2" s="11"/>
      <c r="T2" s="12"/>
      <c r="U2" s="12"/>
      <c r="V2" s="12"/>
      <c r="W2" s="12"/>
      <c r="X2" s="12"/>
      <c r="Y2" s="12"/>
      <c r="Z2" s="12"/>
      <c r="AA2" s="12"/>
      <c r="AB2" s="12"/>
      <c r="AC2" s="12"/>
      <c r="AD2" s="12"/>
      <c r="AE2" s="12"/>
      <c r="AF2" s="12"/>
      <c r="AG2" s="12"/>
      <c r="AH2" s="12"/>
      <c r="AI2" s="12"/>
      <c r="AJ2" s="12"/>
    </row>
    <row r="3" spans="1:36"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row>
    <row r="4" spans="1:36"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row>
    <row r="5" spans="1:36"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row>
    <row r="6" spans="1:36"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6"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row>
    <row r="8" spans="1:36"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row>
    <row r="9" spans="1:36"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row>
    <row r="10" spans="1:36"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row>
    <row r="11" spans="1:36"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row>
    <row r="12" spans="1:36"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spans="1:36"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row>
    <row r="14" spans="1:36"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6"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row>
    <row r="16" spans="1:36"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spans="1:32"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row>
    <row r="18" spans="1:32"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row>
    <row r="19" spans="1:32"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row>
    <row r="20" spans="1:32"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row>
    <row r="21" spans="1:32"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row>
    <row r="22" spans="1:32"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row>
    <row r="23" spans="1:32"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row>
    <row r="25" spans="1:32"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row>
    <row r="26" spans="1:32"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row>
    <row r="27" spans="1:32"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row>
    <row r="28" spans="1:32"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row>
    <row r="29" spans="1:32"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row>
    <row r="30" spans="1:32"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row>
    <row r="33" spans="1:32"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row>
    <row r="34" spans="1:32"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row>
    <row r="35" spans="1:32"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row>
    <row r="36" spans="1:32"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row>
    <row r="37" spans="1:32"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row>
    <row r="38" spans="1:32"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row>
    <row r="39" spans="1:32"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row>
    <row r="40" spans="1:32"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row>
    <row r="41" spans="1:32"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row>
    <row r="42" spans="1:32"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spans="1:32"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row>
    <row r="44" spans="1:32"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row>
    <row r="45" spans="1:32"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row>
    <row r="46" spans="1:32"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row>
    <row r="47" spans="1:32"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row>
    <row r="48" spans="1:32"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row>
    <row r="49" spans="1:32"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spans="1:32"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row>
    <row r="51" spans="1:32"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row>
    <row r="52" spans="1:32"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spans="1:32"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row>
    <row r="54" spans="1:32" x14ac:dyDescent="0.3">
      <c r="A54" s="8"/>
      <c r="B54" s="8"/>
      <c r="C54" s="8"/>
      <c r="D54" s="8"/>
      <c r="E54" s="8"/>
      <c r="F54" s="8"/>
      <c r="G54" s="8"/>
      <c r="H54" s="8"/>
      <c r="I54" s="8"/>
      <c r="J54" s="8"/>
      <c r="K54" s="8"/>
      <c r="L54" s="8"/>
      <c r="M54" s="8"/>
      <c r="N54" s="8"/>
      <c r="O54" s="8"/>
      <c r="P54" s="8"/>
      <c r="Q54" s="8"/>
      <c r="R54" s="8"/>
      <c r="S54" s="8"/>
      <c r="T54" s="8"/>
      <c r="U54" s="8"/>
      <c r="V54" s="8"/>
    </row>
    <row r="55" spans="1:32" x14ac:dyDescent="0.3">
      <c r="A55" s="8"/>
      <c r="B55" s="8"/>
      <c r="C55" s="8"/>
      <c r="D55" s="8"/>
      <c r="E55" s="8"/>
      <c r="F55" s="8"/>
      <c r="G55" s="8"/>
      <c r="H55" s="8"/>
      <c r="I55" s="8"/>
      <c r="J55" s="8"/>
      <c r="K55" s="8"/>
      <c r="L55" s="8"/>
      <c r="M55" s="8"/>
      <c r="N55" s="8"/>
      <c r="O55" s="8"/>
      <c r="P55" s="8"/>
      <c r="Q55" s="8"/>
      <c r="R55" s="8"/>
      <c r="S55" s="8"/>
      <c r="T55" s="8"/>
      <c r="U55" s="8"/>
      <c r="V55" s="8"/>
    </row>
    <row r="56" spans="1:32" x14ac:dyDescent="0.3">
      <c r="A56" s="8"/>
      <c r="B56" s="8"/>
      <c r="C56" s="8"/>
      <c r="D56" s="8"/>
      <c r="E56" s="8"/>
      <c r="F56" s="8"/>
      <c r="G56" s="8"/>
      <c r="H56" s="8"/>
      <c r="I56" s="8"/>
      <c r="J56" s="8"/>
      <c r="K56" s="8"/>
      <c r="L56" s="8"/>
      <c r="M56" s="8"/>
      <c r="N56" s="8"/>
      <c r="O56" s="8"/>
      <c r="P56" s="8"/>
      <c r="Q56" s="8"/>
      <c r="R56" s="8"/>
      <c r="S56" s="8"/>
      <c r="T56" s="8"/>
      <c r="U56" s="8"/>
      <c r="V56" s="8"/>
    </row>
    <row r="57" spans="1:32" x14ac:dyDescent="0.3">
      <c r="A57" s="8"/>
      <c r="B57" s="8"/>
      <c r="C57" s="8"/>
      <c r="D57" s="8"/>
      <c r="E57" s="8"/>
      <c r="F57" s="8"/>
      <c r="G57" s="8"/>
      <c r="H57" s="8"/>
      <c r="I57" s="8"/>
      <c r="J57" s="8"/>
      <c r="K57" s="8"/>
      <c r="L57" s="8"/>
      <c r="M57" s="8"/>
      <c r="N57" s="8"/>
      <c r="O57" s="8"/>
      <c r="P57" s="8"/>
      <c r="Q57" s="8"/>
      <c r="R57" s="8"/>
      <c r="S57" s="8"/>
      <c r="T57" s="8"/>
      <c r="U57" s="8"/>
      <c r="V57" s="8"/>
    </row>
    <row r="58" spans="1:32" x14ac:dyDescent="0.3">
      <c r="A58" s="8"/>
      <c r="B58" s="8"/>
      <c r="C58" s="8"/>
      <c r="D58" s="8"/>
      <c r="E58" s="8"/>
      <c r="F58" s="8"/>
      <c r="G58" s="8"/>
      <c r="H58" s="8"/>
      <c r="I58" s="8"/>
      <c r="J58" s="8"/>
      <c r="K58" s="8"/>
      <c r="L58" s="8"/>
      <c r="M58" s="8"/>
      <c r="N58" s="8"/>
      <c r="O58" s="8"/>
      <c r="P58" s="8"/>
      <c r="Q58" s="8"/>
      <c r="R58" s="8"/>
      <c r="S58" s="8"/>
      <c r="T58" s="8"/>
      <c r="U58" s="8"/>
      <c r="V58" s="8"/>
    </row>
    <row r="59" spans="1:32" x14ac:dyDescent="0.3">
      <c r="A59" s="8"/>
      <c r="B59" s="8"/>
      <c r="C59" s="8"/>
      <c r="D59" s="8"/>
      <c r="E59" s="8"/>
      <c r="F59" s="8"/>
      <c r="G59" s="8"/>
      <c r="H59" s="8"/>
      <c r="I59" s="8"/>
      <c r="J59" s="8"/>
      <c r="K59" s="8"/>
      <c r="L59" s="8"/>
      <c r="M59" s="8"/>
      <c r="N59" s="8"/>
      <c r="O59" s="8"/>
      <c r="P59" s="8"/>
      <c r="Q59" s="8"/>
      <c r="R59" s="8"/>
      <c r="S59" s="8"/>
      <c r="T59" s="8"/>
      <c r="U59" s="8"/>
      <c r="V59" s="8"/>
    </row>
    <row r="60" spans="1:32" x14ac:dyDescent="0.3">
      <c r="A60" s="8"/>
      <c r="B60" s="8"/>
      <c r="C60" s="8"/>
      <c r="D60" s="8"/>
      <c r="E60" s="8"/>
      <c r="F60" s="8"/>
      <c r="G60" s="8"/>
      <c r="H60" s="8"/>
      <c r="I60" s="8"/>
      <c r="J60" s="8"/>
      <c r="K60" s="8"/>
      <c r="L60" s="8"/>
      <c r="M60" s="8"/>
      <c r="N60" s="8"/>
      <c r="O60" s="8"/>
      <c r="P60" s="8"/>
      <c r="Q60" s="8"/>
      <c r="R60" s="8"/>
      <c r="S60" s="8"/>
      <c r="T60" s="8"/>
      <c r="U60" s="8"/>
      <c r="V60" s="8"/>
    </row>
    <row r="61" spans="1:32" x14ac:dyDescent="0.3">
      <c r="A61" s="8"/>
      <c r="B61" s="8"/>
      <c r="C61" s="8"/>
      <c r="D61" s="8"/>
      <c r="E61" s="8"/>
      <c r="F61" s="8"/>
      <c r="G61" s="8"/>
      <c r="H61" s="8"/>
      <c r="I61" s="8"/>
      <c r="J61" s="8"/>
      <c r="K61" s="8"/>
      <c r="L61" s="8"/>
      <c r="M61" s="8"/>
      <c r="N61" s="8"/>
      <c r="O61" s="8"/>
      <c r="P61" s="8"/>
      <c r="Q61" s="8"/>
      <c r="R61" s="8"/>
      <c r="S61" s="8"/>
      <c r="T61" s="8"/>
      <c r="U61" s="8"/>
      <c r="V61" s="8"/>
    </row>
    <row r="62" spans="1:32" x14ac:dyDescent="0.3">
      <c r="A62" s="8"/>
      <c r="B62" s="8"/>
      <c r="C62" s="8"/>
      <c r="D62" s="8"/>
      <c r="E62" s="8"/>
      <c r="F62" s="8"/>
      <c r="G62" s="8"/>
      <c r="H62" s="8"/>
      <c r="I62" s="8"/>
      <c r="J62" s="8"/>
      <c r="K62" s="8"/>
      <c r="L62" s="8"/>
      <c r="M62" s="8"/>
      <c r="N62" s="8"/>
      <c r="O62" s="8"/>
      <c r="P62" s="8"/>
      <c r="Q62" s="8"/>
      <c r="R62" s="8"/>
      <c r="S62" s="8"/>
      <c r="T62" s="8"/>
      <c r="U62" s="8"/>
      <c r="V62" s="8"/>
    </row>
    <row r="63" spans="1:32" x14ac:dyDescent="0.3">
      <c r="A63" s="8"/>
      <c r="B63" s="8"/>
      <c r="C63" s="8"/>
      <c r="D63" s="8"/>
      <c r="E63" s="8"/>
      <c r="F63" s="8"/>
      <c r="G63" s="8"/>
      <c r="H63" s="8"/>
      <c r="I63" s="8"/>
      <c r="J63" s="8"/>
      <c r="K63" s="8"/>
      <c r="L63" s="8"/>
      <c r="M63" s="8"/>
      <c r="N63" s="8"/>
      <c r="O63" s="8"/>
      <c r="P63" s="8"/>
      <c r="Q63" s="8"/>
      <c r="R63" s="8"/>
      <c r="S63" s="8"/>
      <c r="T63" s="8"/>
      <c r="U63" s="8"/>
      <c r="V63" s="8"/>
    </row>
    <row r="64" spans="1:32" x14ac:dyDescent="0.3">
      <c r="A64" s="8"/>
      <c r="B64" s="8"/>
      <c r="C64" s="8"/>
      <c r="D64" s="8"/>
      <c r="E64" s="8"/>
      <c r="F64" s="8"/>
      <c r="G64" s="8"/>
      <c r="H64" s="8"/>
      <c r="I64" s="8"/>
      <c r="J64" s="8"/>
      <c r="K64" s="8"/>
      <c r="L64" s="8"/>
      <c r="M64" s="8"/>
      <c r="N64" s="8"/>
      <c r="O64" s="8"/>
      <c r="P64" s="8"/>
      <c r="Q64" s="8"/>
      <c r="R64" s="8"/>
      <c r="S64" s="8"/>
      <c r="T64" s="8"/>
      <c r="U64" s="8"/>
      <c r="V64" s="8"/>
    </row>
  </sheetData>
  <mergeCells count="4">
    <mergeCell ref="A1:R1"/>
    <mergeCell ref="A2:R2"/>
    <mergeCell ref="S1:AJ1"/>
    <mergeCell ref="S2:A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Salary by Gender</vt:lpstr>
      <vt:lpstr>Department-wise Employee Count </vt:lpstr>
      <vt:lpstr>Employee Count by Work Location</vt:lpstr>
      <vt:lpstr>Emp Gender Distribution (%)</vt:lpstr>
      <vt:lpstr>Monthly Emp Hiring by Gender</vt:lpstr>
      <vt:lpstr>Monthly Salary by Gender</vt:lpstr>
      <vt:lpstr>Dept-wise Salary Distribution</vt:lpstr>
      <vt:lpstr> Data</vt:lpstr>
      <vt:lpstr>data quality log</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meher abbas</cp:lastModifiedBy>
  <dcterms:created xsi:type="dcterms:W3CDTF">2021-03-14T20:21:32Z</dcterms:created>
  <dcterms:modified xsi:type="dcterms:W3CDTF">2026-10-10T07:12:44Z</dcterms:modified>
</cp:coreProperties>
</file>